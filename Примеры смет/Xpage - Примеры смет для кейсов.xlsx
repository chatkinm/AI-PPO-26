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П Мясного магазина" sheetId="1" r:id="rId4"/>
    <sheet state="visible" name="Сайт ломбарда" sheetId="2" r:id="rId5"/>
    <sheet state="visible" name="МП Мед.учреждения" sheetId="3" r:id="rId6"/>
    <sheet state="visible" name="Корпоративный сайт" sheetId="4" r:id="rId7"/>
    <sheet state="visible" name="Приложение ломбарда" sheetId="5" r:id="rId8"/>
  </sheets>
  <definedNames/>
  <calcPr/>
  <extLst>
    <ext uri="GoogleSheetsCustomDataVersion2">
      <go:sheetsCustomData xmlns:go="http://customooxmlschemas.google.com/" r:id="rId9" roundtripDataChecksum="jCc9qsGhERYgbTikQOJk9MWy0S8PEESzPkW14X3YNBw="/>
    </ext>
  </extLst>
</workbook>
</file>

<file path=xl/sharedStrings.xml><?xml version="1.0" encoding="utf-8"?>
<sst xmlns="http://schemas.openxmlformats.org/spreadsheetml/2006/main" count="304" uniqueCount="216">
  <si>
    <t>Комментарии</t>
  </si>
  <si>
    <t>Проектирование</t>
  </si>
  <si>
    <t>Дизайн</t>
  </si>
  <si>
    <t>Верстка / Frontend</t>
  </si>
  <si>
    <t>Верстка</t>
  </si>
  <si>
    <t>Разработка (фронт-энд)</t>
  </si>
  <si>
    <t>Разработка (бэк-энд)</t>
  </si>
  <si>
    <t>Функция или экран</t>
  </si>
  <si>
    <t>Время, час.</t>
  </si>
  <si>
    <t>Стоимость, руб.</t>
  </si>
  <si>
    <t>Страницы</t>
  </si>
  <si>
    <t>Предпроектная аналитика</t>
  </si>
  <si>
    <t>Главная страницы</t>
  </si>
  <si>
    <r>
      <rPr>
        <rFont val="Arial"/>
        <b/>
        <color theme="1"/>
      </rPr>
      <t xml:space="preserve">Главный экран / Дашборд пользователя
</t>
    </r>
    <r>
      <rPr>
        <rFont val="Arial"/>
        <color theme="1"/>
      </rPr>
      <t>— Хедер с аватаром пользователя, именем и иконками уведомлений / помощи / настроек
— Баннер статуса профиля (например, "Аккаунт не подтвержден")
— Карусель информационных карточек (новости, акции, рекомендации и т.п.)
— Поисковая строка (поиск врачей, направлений, клиник)
— Блок “Вам скоро к врачу” с ближайшей записью (дата, время, врач, кнопка "Подробнее")
— Блок “Врачи / Специалисты” (горизонтальный список карточек врачей с фото, ФИО, специализацией и избранным)
— Быстрые действия (например, "Поликлиника на дом", "Чат поддержки")
— Навигационное меню снизу (Главная, Анализы, Записаться, Мои врачи, Профиль)</t>
    </r>
  </si>
  <si>
    <r>
      <rPr>
        <rFont val="Arial"/>
        <b/>
        <color theme="1"/>
      </rPr>
      <t>Промо-баннер с УТП и кнопкой CTA «Получить деньги»</t>
    </r>
    <r>
      <rPr>
        <rFont val="Arial"/>
        <color theme="1"/>
      </rPr>
      <t xml:space="preserve">
—Боковой информационный блок, навигационные карточки основных направлений (Оплатить заём, Скупка, Каталог, Хранение), нижний слайдер с текущими акциями и спецпредложениями.</t>
    </r>
  </si>
  <si>
    <r>
      <rPr>
        <rFont val="Arial"/>
        <b/>
        <color theme="1"/>
      </rPr>
      <t xml:space="preserve">Экран входа/создания профиля
</t>
    </r>
    <r>
      <rPr>
        <rFont val="Arial"/>
        <color theme="1"/>
      </rPr>
      <t>— Ввод номера телефона
— Отправка СМС-кода для подтверждения номера
— Создание нового профиля или вход в существующий
— Привязка профиля к номеру телефона
Элементы:
- поля для ввода номера телефона, 
- кнопка получения кода, 
- согласие с политикой конфиденциальности и условиями использования</t>
    </r>
  </si>
  <si>
    <r>
      <rPr>
        <rFont val="Arial"/>
        <b/>
        <color theme="1"/>
      </rPr>
      <t xml:space="preserve">Экран создания профиля
</t>
    </r>
    <r>
      <rPr>
        <rFont val="Arial"/>
        <color theme="1"/>
      </rPr>
      <t>— Ввод личных данных (фамилия, имя, дата рождения, пол, e-mail)
— Ввод пин-кода для входа в приложение
— Верификация по смс-коду или email
— Возможность добавления членов семьи
Элементы: 
- поля для ввода данных (фамилия, имя, дата рождения, пол, e-mail), 
- поле для ввода пин-кода, 
- кнопка подтверждения данных</t>
    </r>
  </si>
  <si>
    <t>Исследование предметной области
— Сбор требований к проекту
— Изучение предметной области бизнеса и отрасли
— Изучение конкурентов и подбор референсов (3-4 шт)
— Построение структуры проекта</t>
  </si>
  <si>
    <r>
      <rPr>
        <rFont val="Arial"/>
        <b/>
        <color theme="1"/>
      </rPr>
      <t xml:space="preserve">Экран профиля пользователя
</t>
    </r>
    <r>
      <rPr>
        <rFont val="Arial"/>
        <color theme="1"/>
      </rPr>
      <t>— Просмотр и редактирование личных данных
— Управление информацией о членах семьи
— История записей на прием
— Управление уведомлениями (СМС, push, email)
— Возможность смены пин-кода
Элементы: 
- форма для редактирования данных, 
- кнопка для добавления/удаления членов семьи, 
- список недавних записей на прием, 
- переключатели для уведомлений, 
- кнопка смены пин-кода</t>
    </r>
  </si>
  <si>
    <r>
      <rPr>
        <rFont val="Arial"/>
        <b/>
        <color theme="1"/>
      </rPr>
      <t xml:space="preserve">Экран поиска врачей
</t>
    </r>
    <r>
      <rPr>
        <rFont val="Arial"/>
        <color theme="1"/>
      </rPr>
      <t>— Поиск врачей по специальности, локации, стажу
— Фильтрация по популярности, стажу, стоимости
— Подбор врача по специализациям
— Отображение списка врачей с информацией (имя, специализация, стаж, стоимость)
— Запись на прием через кнопку
Элементы: 
- поле для поиска врача, 
- фильтры по стажу, стоимости, специализации, 
- список врачей с карточками, содержащими фото, имя, специализацию
- стоимость</t>
    </r>
  </si>
  <si>
    <r>
      <rPr>
        <rFont val="Arial"/>
        <b/>
        <color theme="1"/>
      </rPr>
      <t xml:space="preserve">Экран записи на прием
</t>
    </r>
    <r>
      <rPr>
        <rFont val="Arial"/>
        <color theme="1"/>
      </rPr>
      <t xml:space="preserve">— Выбор врача и времени приема
— Подтверждение записи
— Уведомление об успешной записи
— Возможность переноса или отмены записи
Элементы:
- календарь и время записи, 
- кнопки для подтверждения, переноса или отмены записи
</t>
    </r>
  </si>
  <si>
    <r>
      <rPr>
        <rFont val="Arial"/>
        <b/>
        <color theme="1"/>
      </rPr>
      <t xml:space="preserve">Экран уведомлений
</t>
    </r>
    <r>
      <rPr>
        <rFont val="Arial"/>
        <color theme="1"/>
      </rPr>
      <t>— Отображение важных уведомлений (напоминания о приеме, готовность анализов, изменения)
— Настройка типа уведомлений (СМС, email, push)
Элементы: 
- список уведомлений с датой и временем, 
- кнопки для настройки уведомлений</t>
    </r>
  </si>
  <si>
    <t>Написание технического задания (ТЗ) для проекта</t>
  </si>
  <si>
    <r>
      <rPr>
        <rFont val="Arial"/>
        <b/>
        <color theme="1"/>
      </rPr>
      <t xml:space="preserve">Экран результатов анализов
</t>
    </r>
    <r>
      <rPr>
        <rFont val="Arial"/>
        <color theme="1"/>
      </rPr>
      <t>— Просмотр анализов с подробным описанием результатов
— Возможность скачивания или отправки на email
— История анализов с динамикой изменений
Элементы: 
- список анализов с датами, 
- кнопка "Посмотреть результат" или "Скачать", 
- диаграммы или таблицы с результатами</t>
    </r>
  </si>
  <si>
    <r>
      <rPr>
        <rFont val="Arial"/>
        <b/>
        <color theme="1"/>
      </rPr>
      <t xml:space="preserve">Экран чата поддержки
</t>
    </r>
    <r>
      <rPr>
        <rFont val="Arial"/>
        <color theme="1"/>
      </rPr>
      <t>— Взаимодействие с ботом для получения информации (запись, анализы, оплата)
— Возможность задать вопрос и получить ответ от оператора
— История сообщений
Элементы: 
- поле для ввода сообщения
- список сообщений в чате</t>
    </r>
  </si>
  <si>
    <r>
      <rPr>
        <rFont val="Arial"/>
        <b/>
        <color theme="1"/>
      </rPr>
      <t xml:space="preserve">Экран планирования приемов и рекомендаций по лечению
</t>
    </r>
    <r>
      <rPr>
        <rFont val="Arial"/>
        <color theme="1"/>
      </rPr>
      <t xml:space="preserve">— Добавление курса приема препаратов
— Напоминания о приеме лекарств
— Ведение истории рекомендаций и приемов
— Возможность редактировать курсы
Элементы: 
- форма для ввода данных (название препарата, дозировка, частота приема), 
- напоминания о времени приема
</t>
    </r>
  </si>
  <si>
    <r>
      <rPr>
        <rFont val="Montserrat"/>
        <b/>
        <color theme="1"/>
      </rPr>
      <t xml:space="preserve">Главная страница
</t>
    </r>
    <r>
      <rPr>
        <rFont val="Montserrat"/>
        <color theme="1"/>
      </rPr>
      <t xml:space="preserve">— </t>
    </r>
    <r>
      <rPr>
        <rFont val="Montserrat"/>
        <b/>
        <color theme="1"/>
      </rPr>
      <t>Верхнее меню</t>
    </r>
    <r>
      <rPr>
        <rFont val="Montserrat"/>
        <color theme="1"/>
      </rPr>
      <t>: Главная, Продукты, Решения, Документация, Партнерам, О компании, Контакты, Новости, Техподдержка, Работа в компании
—</t>
    </r>
    <r>
      <rPr>
        <rFont val="Montserrat"/>
        <b/>
        <color theme="1"/>
      </rPr>
      <t xml:space="preserve"> Большой визуальный блок: </t>
    </r>
    <r>
      <rPr>
        <rFont val="Montserrat"/>
        <color theme="1"/>
      </rPr>
      <t xml:space="preserve">Приветствие, ключевые преимущества компании, краткое описание основных продуктов и услуг. Кнопки «Узнать больше», «Запросить демо»
— </t>
    </r>
    <r>
      <rPr>
        <rFont val="Montserrat"/>
        <b/>
        <color theme="1"/>
      </rPr>
      <t xml:space="preserve">Промо-карусель: </t>
    </r>
    <r>
      <rPr>
        <rFont val="Montserrat"/>
        <color theme="1"/>
      </rPr>
      <t xml:space="preserve">Примеры внедрений, успешных проектов с кнопками перехода на страницы с кейсами
— </t>
    </r>
    <r>
      <rPr>
        <rFont val="Montserrat"/>
        <b/>
        <color theme="1"/>
      </rPr>
      <t>Интерактивные кнопки:</t>
    </r>
    <r>
      <rPr>
        <rFont val="Montserrat"/>
        <color theme="1"/>
      </rPr>
      <t xml:space="preserve"> Продукты, Решения, Документация (с быстрым доступом и ссылками на ключевые страницы)
— </t>
    </r>
    <r>
      <rPr>
        <rFont val="Montserrat"/>
        <b/>
        <color theme="1"/>
      </rPr>
      <t>Блок с видео-презентациями:</t>
    </r>
    <r>
      <rPr>
        <rFont val="Montserrat"/>
        <color theme="1"/>
      </rPr>
      <t xml:space="preserve"> Презентации, интервью, записи с мероприятий для демонстрации экспертизы
— </t>
    </r>
    <r>
      <rPr>
        <rFont val="Montserrat"/>
        <b/>
        <color theme="1"/>
      </rPr>
      <t>Отзывы клиентов и партнеров:</t>
    </r>
    <r>
      <rPr>
        <rFont val="Montserrat"/>
        <color theme="1"/>
      </rPr>
      <t xml:space="preserve"> Реальные отзывы с рейтингами, примеры успешного сотрудничества
— </t>
    </r>
    <r>
      <rPr>
        <rFont val="Montserrat"/>
        <b/>
        <color theme="1"/>
      </rPr>
      <t>Блок с новыми релизами:</t>
    </r>
    <r>
      <rPr>
        <rFont val="Montserrat"/>
        <color theme="1"/>
      </rPr>
      <t xml:space="preserve"> Краткое описание новых релизов ПО и обновлений с кнопкой «Подробнее»
— </t>
    </r>
    <r>
      <rPr>
        <rFont val="Montserrat"/>
        <b/>
        <color theme="1"/>
      </rPr>
      <t>Модальные окна:</t>
    </r>
    <r>
      <rPr>
        <rFont val="Montserrat"/>
        <color theme="1"/>
      </rPr>
      <t xml:space="preserve"> Форма запроса демо, консультации, заказа звонка
— </t>
    </r>
    <r>
      <rPr>
        <rFont val="Montserrat"/>
        <b/>
        <color theme="1"/>
      </rPr>
      <t>Футер</t>
    </r>
    <r>
      <rPr>
        <rFont val="Montserrat"/>
        <color theme="1"/>
      </rPr>
      <t xml:space="preserve">: Ссылки на соцсети, повтор меню, контакты, политика конфиденциальности, QR-код для приложения
</t>
    </r>
  </si>
  <si>
    <r>
      <rPr>
        <rFont val="Arial"/>
        <b/>
        <color theme="1"/>
      </rPr>
      <t xml:space="preserve">Экран семейной группы
</t>
    </r>
    <r>
      <rPr>
        <rFont val="Arial"/>
        <color theme="1"/>
      </rPr>
      <t>— Добавление членов семьи для совместного использования приложения
— Ведение истории анализов и записей на прием для всех членов семьи
— Управление данными для каждого члена семьи
Элементы: 
- список членов семьи, 
- кнопка для добавления нового члена семьи</t>
    </r>
  </si>
  <si>
    <r>
      <rPr>
        <rFont val="Arial"/>
        <b/>
        <color theme="1"/>
      </rPr>
      <t xml:space="preserve">Экран клиник и локаций
</t>
    </r>
    <r>
      <rPr>
        <rFont val="Arial"/>
        <color theme="1"/>
      </rPr>
      <t>— Поиск ближайших клиник по геолокации
— Просмотр информации о клиниках (адрес, время работы, контакты)
— Фильтрация по близости
Элементы: 
- карта с метками клиник, 
- список клиник с фильтрами</t>
    </r>
  </si>
  <si>
    <r>
      <rPr>
        <rFont val="Montserrat"/>
        <b/>
        <color theme="1"/>
      </rPr>
      <t>Продукты</t>
    </r>
    <r>
      <rPr>
        <rFont val="Montserrat"/>
        <color theme="1"/>
      </rPr>
      <t xml:space="preserve">
— </t>
    </r>
    <r>
      <rPr>
        <rFont val="Montserrat"/>
        <b/>
        <color theme="1"/>
      </rPr>
      <t>Главная страница с продуктами:</t>
    </r>
    <r>
      <rPr>
        <rFont val="Montserrat"/>
        <color theme="1"/>
      </rPr>
      <t xml:space="preserve"> Перечень продуктов с фильтрами по категориям, возможностям, цене
— </t>
    </r>
    <r>
      <rPr>
        <rFont val="Montserrat"/>
        <b/>
        <color theme="1"/>
      </rPr>
      <t>Карточка каждого продукта:</t>
    </r>
    <r>
      <rPr>
        <rFont val="Montserrat"/>
        <color theme="1"/>
      </rPr>
      <t xml:space="preserve"> Описание, ключевые характеристики, видео-презентации, изображения интерфейсов
— </t>
    </r>
    <r>
      <rPr>
        <rFont val="Montserrat"/>
        <b/>
        <color theme="1"/>
      </rPr>
      <t>Интерактивные сценарии применения:</t>
    </r>
    <r>
      <rPr>
        <rFont val="Montserrat"/>
        <color theme="1"/>
      </rPr>
      <t xml:space="preserve"> Примеры использования каждого продукта в реальных задачах с кнопками «Посмотреть сценарий»
— </t>
    </r>
    <r>
      <rPr>
        <rFont val="Montserrat"/>
        <b/>
        <color theme="1"/>
      </rPr>
      <t>Форма добавления в расчет проекта:</t>
    </r>
    <r>
      <rPr>
        <rFont val="Montserrat"/>
        <color theme="1"/>
      </rPr>
      <t xml:space="preserve"> Возможность добавлять продукты в расчет с отображением подробностей и стоимости решения
— </t>
    </r>
    <r>
      <rPr>
        <rFont val="Montserrat"/>
        <b/>
        <color theme="1"/>
      </rPr>
      <t>Кейсы:</t>
    </r>
    <r>
      <rPr>
        <rFont val="Montserrat"/>
        <color theme="1"/>
      </rPr>
      <t xml:space="preserve"> Примеры внедрения с кнопками перехода на подробные страницы с деталями</t>
    </r>
  </si>
  <si>
    <r>
      <rPr>
        <rFont val="Arial"/>
        <b/>
        <color theme="1"/>
      </rPr>
      <t xml:space="preserve">Экран оплаты
</t>
    </r>
    <r>
      <rPr>
        <rFont val="Arial"/>
        <color theme="1"/>
      </rPr>
      <t>— Просмотр стоимости услуг (прием, анализы, процедуры)
— Выбор метода оплаты (карта, наличные)
— Ввод данных для оплаты
— Подтверждение успешной оплаты
Элементы: 
- сумма к оплате, 
- способы оплаты, 
- поля для ввода данных карты</t>
    </r>
  </si>
  <si>
    <t>Функция</t>
  </si>
  <si>
    <r>
      <rPr>
        <rFont val="Arial"/>
        <b/>
        <color theme="1"/>
      </rPr>
      <t xml:space="preserve">Интерактивный калькулятор оценки
</t>
    </r>
    <r>
      <rPr>
        <rFont val="Arial"/>
        <color theme="1"/>
      </rPr>
      <t xml:space="preserve">— Форма с выбором параметров (категория, тип изделия, материал, проба, вес), функция загрузки фото, переключатели статуса клиента. 
— Динамический блок справа («Наше предложение»), рассчитывающий сумму займа и ставку в реальном времени.
— Расчет стоимости производится по формуле заказчика. </t>
    </r>
  </si>
  <si>
    <r>
      <rPr>
        <rFont val="Montserrat"/>
        <b/>
        <color theme="1"/>
      </rPr>
      <t>Решения</t>
    </r>
    <r>
      <rPr>
        <rFont val="Montserrat"/>
        <color theme="1"/>
      </rPr>
      <t xml:space="preserve">
— </t>
    </r>
    <r>
      <rPr>
        <rFont val="Montserrat"/>
        <b/>
        <color theme="1"/>
      </rPr>
      <t>Страница отраслевых решений:</t>
    </r>
    <r>
      <rPr>
        <rFont val="Montserrat"/>
        <color theme="1"/>
      </rPr>
      <t xml:space="preserve"> Решения для разных отраслей с разделением по категориям (Транспорт, Промышленность, Спортивные объекты, Банковский сектор и т.д.)
— </t>
    </r>
    <r>
      <rPr>
        <rFont val="Montserrat"/>
        <b/>
        <color theme="1"/>
      </rPr>
      <t>Карточки отраслевых решений:</t>
    </r>
    <r>
      <rPr>
        <rFont val="Montserrat"/>
        <color theme="1"/>
      </rPr>
      <t xml:space="preserve"> Примеры применения с конкретными кейсами, интеграциями и кнопками «Подробнее»
— </t>
    </r>
    <r>
      <rPr>
        <rFont val="Montserrat"/>
        <b/>
        <color theme="1"/>
      </rPr>
      <t>Интерактивные блоки для фильтрации решений:</t>
    </r>
    <r>
      <rPr>
        <rFont val="Montserrat"/>
        <color theme="1"/>
      </rPr>
      <t xml:space="preserve"> Удобные фильтры для выбора по отрасли, типу задачи, размеру компании
— </t>
    </r>
    <r>
      <rPr>
        <rFont val="Montserrat"/>
        <b/>
        <color theme="1"/>
      </rPr>
      <t xml:space="preserve">Сценарии внедрения: </t>
    </r>
    <r>
      <rPr>
        <rFont val="Montserrat"/>
        <color theme="1"/>
      </rPr>
      <t>Подробное описание, как решение работает в разных отраслях с кнопками «Запросить консультацию»</t>
    </r>
  </si>
  <si>
    <t>Интеграция с СМС-сервисом</t>
  </si>
  <si>
    <r>
      <rPr>
        <rFont val="Arial"/>
        <b/>
        <color theme="1"/>
      </rPr>
      <t xml:space="preserve">Блок лояльности и подписок
</t>
    </r>
    <r>
      <rPr>
        <rFont val="Arial"/>
        <color theme="1"/>
      </rPr>
      <t>— Инфографика по статусам клиентов (Бронза, Серебро и т.д.).
— Карточки платных подписок (PRO, Premium) с описанием..</t>
    </r>
  </si>
  <si>
    <t>Интеграция с chat2desk</t>
  </si>
  <si>
    <r>
      <rPr>
        <rFont val="Montserrat"/>
        <b/>
        <color theme="1"/>
      </rPr>
      <t>Документация</t>
    </r>
    <r>
      <rPr>
        <rFont val="Montserrat"/>
        <color theme="1"/>
      </rPr>
      <t xml:space="preserve">
— </t>
    </r>
    <r>
      <rPr>
        <rFont val="Montserrat"/>
        <b/>
        <color theme="1"/>
      </rPr>
      <t>Раздел с технической документацией:</t>
    </r>
    <r>
      <rPr>
        <rFont val="Montserrat"/>
        <color theme="1"/>
      </rPr>
      <t xml:space="preserve"> Сертификаты, инструкции, мануалы по продуктам
— </t>
    </r>
    <r>
      <rPr>
        <rFont val="Montserrat"/>
        <b/>
        <color theme="1"/>
      </rPr>
      <t>Скачать материалы:</t>
    </r>
    <r>
      <rPr>
        <rFont val="Montserrat"/>
        <color theme="1"/>
      </rPr>
      <t xml:space="preserve"> Прайс-листы, дистрибутивы, презентации
— </t>
    </r>
    <r>
      <rPr>
        <rFont val="Montserrat"/>
        <b/>
        <color theme="1"/>
      </rPr>
      <t>Обновления и релизы:</t>
    </r>
    <r>
      <rPr>
        <rFont val="Montserrat"/>
        <color theme="1"/>
      </rPr>
      <t xml:space="preserve"> История обновлений и новых релизов ПО с возможностью скачивания новых версий и патчей</t>
    </r>
  </si>
  <si>
    <t>Интеграция Я.карты</t>
  </si>
  <si>
    <r>
      <rPr>
        <rFont val="Arial"/>
        <b/>
        <color theme="1"/>
      </rPr>
      <t xml:space="preserve">Тарифная сетка
</t>
    </r>
    <r>
      <rPr>
        <rFont val="Arial"/>
        <color theme="1"/>
      </rPr>
      <t>— Блок с переключением вкладок (табов) по уровням лояльности.
— Карточки кредитных продуктов с динамической сменой условий (%, срок, сумма) при переключении табов.</t>
    </r>
  </si>
  <si>
    <t>Интеграция DaData</t>
  </si>
  <si>
    <r>
      <rPr>
        <rFont val="Montserrat"/>
        <b/>
        <color theme="1"/>
      </rPr>
      <t>Партнерам</t>
    </r>
    <r>
      <rPr>
        <rFont val="Montserrat"/>
        <color theme="1"/>
      </rPr>
      <t xml:space="preserve">
— </t>
    </r>
    <r>
      <rPr>
        <rFont val="Montserrat"/>
        <b/>
        <color theme="1"/>
      </rPr>
      <t xml:space="preserve">Условия сотрудничества: </t>
    </r>
    <r>
      <rPr>
        <rFont val="Montserrat"/>
        <color theme="1"/>
      </rPr>
      <t xml:space="preserve">Презентация партнерской программы, требования и возможности
— </t>
    </r>
    <r>
      <rPr>
        <rFont val="Montserrat"/>
        <b/>
        <color theme="1"/>
      </rPr>
      <t>Интерактивная карточка партнера:</t>
    </r>
    <r>
      <rPr>
        <rFont val="Montserrat"/>
        <color theme="1"/>
      </rPr>
      <t xml:space="preserve"> Пример сотрудничества с партнерами, преимущества работы с компанией
— </t>
    </r>
    <r>
      <rPr>
        <rFont val="Montserrat"/>
        <b/>
        <color theme="1"/>
      </rPr>
      <t>Материалы для партнеров:</t>
    </r>
    <r>
      <rPr>
        <rFont val="Montserrat"/>
        <color theme="1"/>
      </rPr>
      <t xml:space="preserve"> Презентации, маркетинговые материалы, ресурсы для партнеров (ссылка на страницу с материалами)</t>
    </r>
  </si>
  <si>
    <t>Форма обратной связи</t>
  </si>
  <si>
    <r>
      <rPr>
        <rFont val="Arial"/>
        <b/>
        <color theme="1"/>
      </rPr>
      <t xml:space="preserve">Навигация по услугам
</t>
    </r>
    <r>
      <rPr>
        <rFont val="Arial"/>
        <color theme="1"/>
      </rPr>
      <t>— Плитка ссылок на посадочные страницы услуг с кратким описанием (Заём, Хранение, Скупка, Рассрочка, Выезд на дом).</t>
    </r>
  </si>
  <si>
    <t>Прочее</t>
  </si>
  <si>
    <r>
      <rPr>
        <rFont val="Montserrat"/>
        <b/>
        <color theme="1"/>
      </rPr>
      <t>О</t>
    </r>
    <r>
      <rPr>
        <rFont val="Montserrat"/>
        <color theme="1"/>
      </rPr>
      <t xml:space="preserve"> </t>
    </r>
    <r>
      <rPr>
        <rFont val="Montserrat"/>
        <b/>
        <color theme="1"/>
      </rPr>
      <t>компании</t>
    </r>
    <r>
      <rPr>
        <rFont val="Montserrat"/>
        <color theme="1"/>
      </rPr>
      <t xml:space="preserve">
—</t>
    </r>
    <r>
      <rPr>
        <rFont val="Montserrat"/>
        <b/>
        <color theme="1"/>
      </rPr>
      <t xml:space="preserve"> Миссия и история компании:</t>
    </r>
    <r>
      <rPr>
        <rFont val="Montserrat"/>
        <color theme="1"/>
      </rPr>
      <t xml:space="preserve"> Описание миссии, истории компании, ключевых достижений
— </t>
    </r>
    <r>
      <rPr>
        <rFont val="Montserrat"/>
        <b/>
        <color theme="1"/>
      </rPr>
      <t xml:space="preserve">Команда: </t>
    </r>
    <r>
      <rPr>
        <rFont val="Montserrat"/>
        <color theme="1"/>
      </rPr>
      <t xml:space="preserve">Презентация ключевых сотрудников компании, их роли и вклад в развитие
— </t>
    </r>
    <r>
      <rPr>
        <rFont val="Montserrat"/>
        <b/>
        <color theme="1"/>
      </rPr>
      <t>Видео с корпоративных мероприятий:</t>
    </r>
    <r>
      <rPr>
        <rFont val="Montserrat"/>
        <color theme="1"/>
      </rPr>
      <t xml:space="preserve"> Презентация жизни компании через видеоматериалы и фотографии</t>
    </r>
  </si>
  <si>
    <r>
      <rPr>
        <rFont val="Arial"/>
        <b/>
        <color theme="1"/>
      </rPr>
      <t xml:space="preserve">Информационный блок «О нас» 
</t>
    </r>
    <r>
      <rPr>
        <rFont val="Arial"/>
        <color theme="1"/>
      </rPr>
      <t>— Текстовое описание компании и сетка принципов работы (иконка + описание: Честность, Уважение и т.д.).</t>
    </r>
  </si>
  <si>
    <t>Адаптивная версия сайта (телефон)</t>
  </si>
  <si>
    <r>
      <rPr>
        <rFont val="Montserrat"/>
        <b/>
        <color theme="1"/>
      </rPr>
      <t>Контакты</t>
    </r>
    <r>
      <rPr>
        <rFont val="Montserrat"/>
        <color theme="1"/>
      </rPr>
      <t xml:space="preserve">
— </t>
    </r>
    <r>
      <rPr>
        <rFont val="Montserrat"/>
        <b/>
        <color theme="1"/>
      </rPr>
      <t xml:space="preserve">Контактная информация: </t>
    </r>
    <r>
      <rPr>
        <rFont val="Montserrat"/>
        <color theme="1"/>
      </rPr>
      <t xml:space="preserve">Телефон, email, физический адрес с картой
— </t>
    </r>
    <r>
      <rPr>
        <rFont val="Montserrat"/>
        <b/>
        <color theme="1"/>
      </rPr>
      <t xml:space="preserve">Форма обратной связи: </t>
    </r>
    <r>
      <rPr>
        <rFont val="Montserrat"/>
        <color theme="1"/>
      </rPr>
      <t xml:space="preserve">Простая форма для отправки запросов или сообщений
— </t>
    </r>
    <r>
      <rPr>
        <rFont val="Montserrat"/>
        <b/>
        <color theme="1"/>
      </rPr>
      <t>Интерактивная карта:</t>
    </r>
    <r>
      <rPr>
        <rFont val="Montserrat"/>
        <color theme="1"/>
      </rPr>
      <t xml:space="preserve"> Положение офиса компании на карте с возможностью прокладывания маршрута</t>
    </r>
  </si>
  <si>
    <r>
      <rPr>
        <rFont val="Arial"/>
        <b/>
        <color theme="1"/>
      </rPr>
      <t xml:space="preserve">Сравнительный блок
</t>
    </r>
    <r>
      <rPr>
        <rFont val="Arial"/>
        <color theme="1"/>
      </rPr>
      <t>— Таблица сравнения условий "Ломбард" vs «Банки» (текстовые тезисы), итоговый вывод.</t>
    </r>
  </si>
  <si>
    <t>Отзывы
— Слайдер с отзывами клиентов (интеграция или статика)</t>
  </si>
  <si>
    <r>
      <rPr>
        <rFont val="Montserrat"/>
        <b/>
        <color theme="1"/>
      </rPr>
      <t>Новости</t>
    </r>
    <r>
      <rPr>
        <rFont val="Montserrat"/>
        <color theme="1"/>
      </rPr>
      <t xml:space="preserve">
— </t>
    </r>
    <r>
      <rPr>
        <rFont val="Montserrat"/>
        <b/>
        <color theme="1"/>
      </rPr>
      <t>Последние новости:</t>
    </r>
    <r>
      <rPr>
        <rFont val="Montserrat"/>
        <color theme="1"/>
      </rPr>
      <t xml:space="preserve"> Пресс-релизы, события компании и отрасли
— </t>
    </r>
    <r>
      <rPr>
        <rFont val="Montserrat"/>
        <b/>
        <color theme="1"/>
      </rPr>
      <t>Обновления продуктов и решений:</t>
    </r>
    <r>
      <rPr>
        <rFont val="Montserrat"/>
        <color theme="1"/>
      </rPr>
      <t xml:space="preserve"> Блок с новыми релизами и патчами
— </t>
    </r>
    <r>
      <rPr>
        <rFont val="Montserrat"/>
        <b/>
        <color theme="1"/>
      </rPr>
      <t>Записи с мероприятий:</t>
    </r>
    <r>
      <rPr>
        <rFont val="Montserrat"/>
        <color theme="1"/>
      </rPr>
      <t xml:space="preserve"> Видео и фото с выставок и форумов, где компания участвовала</t>
    </r>
  </si>
  <si>
    <t>Административная панель сайта</t>
  </si>
  <si>
    <t>Тестирование и отладка</t>
  </si>
  <si>
    <r>
      <rPr>
        <rFont val="Arial"/>
        <b/>
        <color theme="1"/>
      </rPr>
      <t xml:space="preserve">Форма обратной связи
</t>
    </r>
    <r>
      <rPr>
        <rFont val="Arial"/>
        <color theme="1"/>
      </rPr>
      <t>— Поля ввода (Имя, Телефон, Комментарий), чекбоксы согласия на обработку данных, кнопка отправки.</t>
    </r>
  </si>
  <si>
    <r>
      <rPr>
        <rFont val="Montserrat"/>
        <b/>
        <color theme="1"/>
      </rPr>
      <t>Техподдержка</t>
    </r>
    <r>
      <rPr>
        <rFont val="Montserrat"/>
        <color theme="1"/>
      </rPr>
      <t xml:space="preserve">
— </t>
    </r>
    <r>
      <rPr>
        <rFont val="Montserrat"/>
        <b/>
        <color theme="1"/>
      </rPr>
      <t>База знаний:</t>
    </r>
    <r>
      <rPr>
        <rFont val="Montserrat"/>
        <color theme="1"/>
      </rPr>
      <t xml:space="preserve"> Часто задаваемые вопросы, инструкции по продуктам и решениям
— </t>
    </r>
    <r>
      <rPr>
        <rFont val="Montserrat"/>
        <b/>
        <color theme="1"/>
      </rPr>
      <t>Модальное окно для запроса:</t>
    </r>
    <r>
      <rPr>
        <rFont val="Montserrat"/>
        <color theme="1"/>
      </rPr>
      <t xml:space="preserve"> Форма для отправки запроса на техподдержку, с возможностью прикрепления файлов
— </t>
    </r>
    <r>
      <rPr>
        <rFont val="Montserrat"/>
        <b/>
        <color theme="1"/>
      </rPr>
      <t>Поиск по базе знаний:</t>
    </r>
    <r>
      <rPr>
        <rFont val="Montserrat"/>
        <color theme="1"/>
      </rPr>
      <t xml:space="preserve"> Функция поиска по документам, статьям, руководствам</t>
    </r>
  </si>
  <si>
    <t>Первичное наполнение контентом 
(прописать количество страниц, которые будут наполнены контентом, и их наименование)</t>
  </si>
  <si>
    <r>
      <rPr>
        <rFont val="Arial"/>
        <color theme="1"/>
        <u/>
      </rPr>
      <t xml:space="preserve">Главная страница
</t>
    </r>
    <r>
      <rPr>
        <rFont val="Arial"/>
        <b/>
        <color theme="1"/>
      </rPr>
      <t xml:space="preserve">- Выбор магазина
</t>
    </r>
    <r>
      <rPr>
        <rFont val="Arial"/>
        <color theme="1"/>
      </rPr>
      <t xml:space="preserve">пользователь может выбрать ближайший магазин вручную или с помощью автоматического определения местоположения.  
</t>
    </r>
    <r>
      <rPr>
        <rFont val="Arial"/>
        <b/>
        <color theme="1"/>
      </rPr>
      <t xml:space="preserve">- Блок "Акции и спецпредложения"
</t>
    </r>
    <r>
      <rPr>
        <rFont val="Arial"/>
        <color theme="1"/>
      </rPr>
      <t xml:space="preserve">отображение скидок, акций, популярных товаров.  
</t>
    </r>
    <r>
      <rPr>
        <rFont val="Arial"/>
        <b/>
        <color theme="1"/>
      </rPr>
      <t xml:space="preserve">- Категории товаров
</t>
    </r>
    <r>
      <rPr>
        <rFont val="Arial"/>
        <color theme="1"/>
      </rPr>
      <t xml:space="preserve">быстрый переход к разделам («Овощи и фрукты», «Молочные продукты» и т.д.).  
</t>
    </r>
    <r>
      <rPr>
        <rFont val="Arial"/>
        <b/>
        <color theme="1"/>
      </rPr>
      <t xml:space="preserve">- Поиск товаров
</t>
    </r>
    <r>
      <rPr>
        <rFont val="Arial"/>
        <color theme="1"/>
      </rPr>
      <t xml:space="preserve"> умный поиск по названию, категории или бренду.  
</t>
    </r>
    <r>
      <rPr>
        <rFont val="Arial"/>
        <b/>
        <color theme="1"/>
      </rPr>
      <t xml:space="preserve">- Баннеры с рекламными предложениями
- Быстрый доступ к корзине и заказам
</t>
    </r>
    <r>
      <rPr>
        <rFont val="Arial"/>
        <color theme="1"/>
      </rPr>
      <t xml:space="preserve">иконки в верхнем углу экрана.  </t>
    </r>
  </si>
  <si>
    <t>Личный кабинет (ЛК)</t>
  </si>
  <si>
    <t>Итого по этапам:</t>
  </si>
  <si>
    <r>
      <rPr>
        <rFont val="Arial"/>
        <b/>
        <color theme="1"/>
      </rPr>
      <t>Авторизация и Регистрация</t>
    </r>
    <r>
      <rPr>
        <rFont val="Arial"/>
        <color theme="1"/>
      </rPr>
      <t xml:space="preserve">
— Вход: Логин/телефон + пароль, восстановление пароля.
— Регистрация: Многоступенчатая форма (ФИО, Email, Телефон, Пароль), чекбоксы согласия (Оферта, Политика).
— SMS-верификация: Экран ввода кода подтверждения (для регистрации и подтверждения операций)</t>
    </r>
  </si>
  <si>
    <r>
      <rPr>
        <rFont val="Arial"/>
        <b/>
        <color theme="1"/>
      </rPr>
      <t xml:space="preserve">Сайдбар (Боковое меню)
</t>
    </r>
    <r>
      <rPr>
        <rFont val="Arial"/>
        <color theme="1"/>
      </rPr>
      <t>— Навигация по разделам (Займы, Хранение, Имущество, Покупки и др.), виджет «Доступный лимит» с суммой, кнопка «Добавить имущество».</t>
    </r>
  </si>
  <si>
    <t xml:space="preserve">Каталог </t>
  </si>
  <si>
    <r>
      <rPr>
        <rFont val="Arial"/>
        <b/>
        <color theme="1"/>
      </rPr>
      <t xml:space="preserve">Виджеты
</t>
    </r>
    <r>
      <rPr>
        <rFont val="Arial"/>
        <color theme="1"/>
      </rPr>
      <t>— Виджет  «Ближайшие платежи» Карточки активных займов с дедлайнами, круговой индикатор срока, кнопка быстрой оплаты.
— Виджет «Проценты» Баннер с общей суммой набежавших процентов и кнопкой «Оплатить всё в 1 клик».
— Виджет «Перевод на карту» Функционал вывода средств из доступного лимита (выбор займа, ввод суммы, кнопка перевода).
— Статус привилегий (таймер действия статуса, реклама PRO)</t>
    </r>
  </si>
  <si>
    <r>
      <rPr>
        <rFont val="Arial"/>
        <b/>
        <color theme="1"/>
      </rPr>
      <t xml:space="preserve">- Список категорий товаров
</t>
    </r>
    <r>
      <rPr>
        <rFont val="Arial"/>
        <color theme="1"/>
      </rPr>
      <t>с иконками и возможностью фильтрации (например, по цене, популярности, наличию)</t>
    </r>
  </si>
  <si>
    <r>
      <rPr>
        <rFont val="Arial"/>
        <b/>
        <color theme="1"/>
      </rPr>
      <t>Раздел «Займы»</t>
    </r>
    <r>
      <rPr>
        <rFont val="Arial"/>
        <color theme="1"/>
      </rPr>
      <t xml:space="preserve">
— Список активных займов (Карточки с фото и расчетами).
— Управление займом: Оплатить, Пополнить, Отсрочка, Добрать сумму, Перевести на хранение, Скачать договор.
— Модальное окно товара: Детальный просмотр и расчет выкупа.
— Массовая оплата: Выбор нескольких займов и оплата одной суммой.
— Блок «Оценка и Курсы» и «Тарифы».
— Виджет «Тарифы» с переключением вкладок (Стандарт, Бронза и т.д.). Отображает условия по тарифам (Первый заём, Правильный выбор) с процентными ставками и лимитами.</t>
    </r>
  </si>
  <si>
    <r>
      <rPr>
        <rFont val="Arial"/>
        <b/>
        <color theme="1"/>
      </rPr>
      <t>Раздел «Хранение»</t>
    </r>
    <r>
      <rPr>
        <rFont val="Arial"/>
        <color theme="1"/>
      </rPr>
      <t xml:space="preserve">
— Список имущества на хранении. Карточки предметов (Фото, оценочная стоимость, сумма к оплате за услуги хранения).
— Действия с хранением. Оплатить услуги, «Забрать имущество», «Перевести в залог» (конвертация хранения в займ), «скачать договор»
— Заявка на хранение. Форма обратной связи для подбора условий хранения.</t>
    </r>
  </si>
  <si>
    <r>
      <rPr>
        <rFont val="Arial"/>
        <b/>
        <color theme="1"/>
      </rPr>
      <t>Раздел «Имущество»</t>
    </r>
    <r>
      <rPr>
        <rFont val="Arial"/>
        <color theme="1"/>
      </rPr>
      <t xml:space="preserve">
— Список своего имущества. Реестр загруженных пользователем вещей с их статусами (Подтверждено/На оценке) и стоимостью.
— Добавление имущества (Оценка). Пошагово: Категория -&gt; Характеристики (Металл, Проба, Вес) -&gt; Загрузка фото -&gt; Отправка.
— Операции с имуществом. Кнопки «Перевести в залог» (быстрое получение денег под сохраненный предмет), «Продать имущество», Удаление.
— Модальное окно «Перевести в залог». Выбор предметов из списка имущества, расчет итоговой суммы займа, подтверждение.
— Блок «Тарифы» </t>
    </r>
  </si>
  <si>
    <r>
      <rPr>
        <rFont val="Arial"/>
        <b/>
        <color theme="1"/>
      </rPr>
      <t xml:space="preserve">- Список товаров
</t>
    </r>
    <r>
      <rPr>
        <rFont val="Arial"/>
        <color theme="1"/>
      </rPr>
      <t>фото, название, цена, наличие в магазине</t>
    </r>
  </si>
  <si>
    <t>Итого, смета:</t>
  </si>
  <si>
    <r>
      <rPr>
        <rFont val="Arial"/>
        <b/>
        <color theme="1"/>
      </rPr>
      <t>Раздел «Профиль»</t>
    </r>
    <r>
      <rPr>
        <rFont val="Arial"/>
        <color theme="1"/>
      </rPr>
      <t xml:space="preserve">
— Личные данные. ФИО, email, телефон. Блок «Паспортные данные» (отображение статуса, запрос на обновление).
— Безопасность. Смена пароля, тумблер включения двухфакторной аутентификации.
— Инфографика лояльности. Визуализация текущего уровня (звезды), таблица прогресса и условий переходов (Бронза -&gt; Серебро -&gt; Золото), список текущих привилегий.
— Блок «Свой в ломбарде» (Программа лояльности):
    - Виджет статистики: счетчики отзывов («Требуется» / «Оставлено») с прогрессом.
    - Управление отзывами: Кнопка «Оставить отзыв» (вызов модального окна) и кнопка «Посмотреть отзывы» (переход к истории или открытие списка).
— Модальное окно «Оставить отзыв» Форма с рейтингом (звезды), выбором филиала, даты и полем для текста/фото.
— Модальное окно «История отзывов» Список ранее оставленных отзывов с датами и оценками.</t>
    </r>
  </si>
  <si>
    <r>
      <rPr>
        <rFont val="Arial"/>
        <b/>
        <color theme="1"/>
      </rPr>
      <t xml:space="preserve">- Добавление в корзину
</t>
    </r>
    <r>
      <rPr>
        <rFont val="Arial"/>
        <color theme="1"/>
      </rPr>
      <t>кнопка быстрого добавления без перехода в детальную карточку товара</t>
    </r>
  </si>
  <si>
    <r>
      <rPr>
        <rFont val="Arial"/>
        <b/>
        <color theme="1"/>
      </rPr>
      <t>Программа лояльности и Статусы</t>
    </r>
    <r>
      <rPr>
        <rFont val="Arial"/>
        <color theme="1"/>
      </rPr>
      <t xml:space="preserve">
—  Сравнительная таблица привелегий (Сумма оценки, Скидки, Отсрочка) для разных статусов (Бронза, Серебро, Золото и т.д.) с указанием текущег остатуса пользователя.</t>
    </r>
  </si>
  <si>
    <t>Карточка товара</t>
  </si>
  <si>
    <r>
      <rPr>
        <rFont val="Arial"/>
        <b/>
        <color theme="1"/>
      </rPr>
      <t xml:space="preserve">Страницы подписки «PRO» и «Premium»
</t>
    </r>
    <r>
      <rPr>
        <rFont val="Arial"/>
        <color theme="1"/>
      </rPr>
      <t>— Название тарифа, цена, слоган.
— Список преимуществ: Маркированный список выгод.
— Оплата: Кнопка перехода к эквайрингу и активации подписки.</t>
    </r>
  </si>
  <si>
    <r>
      <rPr>
        <rFont val="Arial"/>
        <b/>
        <color theme="1"/>
      </rPr>
      <t xml:space="preserve">– Описание товара
</t>
    </r>
    <r>
      <rPr>
        <rFont val="Arial"/>
        <color theme="1"/>
      </rPr>
      <t>фото, название, характеристики, состав</t>
    </r>
  </si>
  <si>
    <r>
      <rPr>
        <rFont val="Arial"/>
        <b/>
        <color theme="1"/>
      </rPr>
      <t>Раздел «Документы»</t>
    </r>
    <r>
      <rPr>
        <rFont val="Arial"/>
        <color theme="1"/>
      </rPr>
      <t xml:space="preserve">
— Список активных доверенностей и договоров
— Кнопка «Скачать PDF» (с указанием размера файла), кнопка «Аннулировать» (отзыв доверенности / договора).</t>
    </r>
  </si>
  <si>
    <r>
      <rPr>
        <rFont val="Arial"/>
        <b/>
        <color theme="1"/>
      </rPr>
      <t>Центр уведомлений и Чат</t>
    </r>
    <r>
      <rPr>
        <rFont val="Arial"/>
        <color theme="1"/>
      </rPr>
      <t xml:space="preserve">
— Системные уведомления. Вкладка со списком предупреждений (например, «Истек срок паспорта»). Кнопка целевого действия внутри уведомления (например, «Записаться в ломбард» или «Обновить данные»).
— Чат с поддержкой. Полноценный мессенджер с менеджером. Окно диалога (входящие/исходящие), поле ввода текста, возможность голосового ввода (иконка микрофона) или прикрепления файлов.</t>
    </r>
  </si>
  <si>
    <t>Раздел Ещё (Полезное)</t>
  </si>
  <si>
    <r>
      <rPr>
        <rFont val="Arial"/>
        <b/>
        <color theme="1"/>
      </rPr>
      <t xml:space="preserve">Разводящая
</t>
    </r>
    <r>
      <rPr>
        <rFont val="Arial"/>
        <color theme="1"/>
      </rPr>
      <t>— Крупные плитки-ссылки с иконками и описанием разделов: Новости, Отзывы, Что может быть залогом, Курсы металлов.</t>
    </r>
  </si>
  <si>
    <r>
      <rPr>
        <rFont val="Arial"/>
        <b/>
        <color theme="1"/>
      </rPr>
      <t>Страница «Новости» (Список)</t>
    </r>
    <r>
      <rPr>
        <rFont val="Arial"/>
        <color theme="1"/>
      </rPr>
      <t xml:space="preserve">
— Фильтрация.  Календарь для выбора даты публикации, Теги категорий (Все, Категория 1, Категория 2).
— Сетка новостей. Карточки превью (Теги, Дата, Заголовок, Краткое описание). Пагинация или кнопка «Показать еще».</t>
    </r>
  </si>
  <si>
    <r>
      <rPr>
        <rFont val="Arial"/>
        <b/>
        <color theme="1"/>
      </rPr>
      <t>Страница «Детальная новость»</t>
    </r>
    <r>
      <rPr>
        <rFont val="Arial"/>
        <color theme="1"/>
      </rPr>
      <t xml:space="preserve">
— Контентная область: Заголовок H1, Дата, Кнопка «Поделиться».
— Поддержка сложной верстки (Заголовки H2-H4, списки, цитаты/лид-абзацы, таблицы).
— Медиа-блоки: Вставка видео-плеера, Слайдер изображений внутри статьи.
— Блок «Другие новости»: Слайдер с рекомендациями последних статей.
</t>
    </r>
  </si>
  <si>
    <r>
      <rPr>
        <rFont val="Arial"/>
        <b/>
        <color theme="1"/>
      </rPr>
      <t xml:space="preserve">- Цена
</t>
    </r>
    <r>
      <rPr>
        <rFont val="Arial"/>
        <color theme="1"/>
      </rPr>
      <t xml:space="preserve">текущая, старая цена (если есть скидка).  </t>
    </r>
  </si>
  <si>
    <r>
      <rPr>
        <rFont val="Arial"/>
        <b/>
        <color theme="1"/>
      </rPr>
      <t>Страница «Отзывы»</t>
    </r>
    <r>
      <rPr>
        <rFont val="Arial"/>
        <color theme="1"/>
      </rPr>
      <t xml:space="preserve">
— Блок «Оставить отзыв»: Призыв к действию и кнопка вызова модального окна.
— Сетка отзывов клиентов: Карточки с именами, датами и текстом (аналогично ЛК, но публичный просмотр).
— Блок «Почему нам доверяют»: Иконки с преимуществами (Прозрачность, Безопасность и т.д.).
— Виджет «Отзывы в источниках»: Карточки внешних площадок (2GIS, Flamp, Google, Yandex) с отображением текущего рейтинга и логотипа.
— Промо «Свой в ломбарде»: Баннер программы лояльности с перечислением выгод.</t>
    </r>
  </si>
  <si>
    <r>
      <rPr>
        <rFont val="Arial"/>
        <b/>
        <color theme="1"/>
      </rPr>
      <t xml:space="preserve">- Наличие в магазинах 
</t>
    </r>
    <r>
      <rPr>
        <rFont val="Arial"/>
        <color theme="1"/>
      </rPr>
      <t xml:space="preserve">список доступных точек с количеством товара.  </t>
    </r>
  </si>
  <si>
    <t xml:space="preserve">- Специальные предложения  </t>
  </si>
  <si>
    <r>
      <rPr>
        <rFont val="Arial"/>
        <b/>
        <color theme="1"/>
      </rPr>
      <t>Страница «Что может быть залогом»</t>
    </r>
    <r>
      <rPr>
        <rFont val="Arial"/>
        <color theme="1"/>
      </rPr>
      <t xml:space="preserve">
— Калькулятор оценки. Виджет калькулятора (тот же компонент, что на Главной).
— Категории залогов: Сетка иконок принимаемых изделий (Ювелирка, Электроника и т.д.) с переходом на их посадочные страницы.
— Списки ограничений: Информационные блоки «Что не принимаем» и «Запрещено законом».
— Сравнение и Процесс: Блоки «Ломбард vs Банк» и «4 шага до займа» (переиспользование блоков с Главной).
— Форма обратной связи</t>
    </r>
  </si>
  <si>
    <r>
      <rPr>
        <rFont val="Arial"/>
        <b/>
        <color theme="1"/>
      </rPr>
      <t xml:space="preserve">- С этим товаром покупают 
</t>
    </r>
    <r>
      <rPr>
        <rFont val="Arial"/>
        <b val="0"/>
        <color theme="1"/>
      </rPr>
      <t>Блок с релевантными товарами</t>
    </r>
  </si>
  <si>
    <r>
      <rPr>
        <rFont val="Arial"/>
        <b/>
        <color theme="1"/>
      </rPr>
      <t>Страница «Детальная страница категории»</t>
    </r>
    <r>
      <rPr>
        <rFont val="Arial"/>
        <color theme="1"/>
      </rPr>
      <t xml:space="preserve">
— Промо-баннер категории.
— Калькулятор оценки. Вставка виджета калькулятора.
— Текстовый блок. Описание параметров оценки: Сетка инфо-блоков (Материал, Проба, Вес, Камни).
— Текстовый блок. Списки типов украшений (Золотые, Серебряные, Часы, Бренды).
— Навигация по услугам. Ссылки на смежные разделы (Скупка, Деньги на дом).</t>
    </r>
  </si>
  <si>
    <r>
      <rPr>
        <rFont val="Arial"/>
        <b/>
        <color theme="1"/>
      </rPr>
      <t xml:space="preserve">- Минимальная сумма заказа
</t>
    </r>
    <r>
      <rPr>
        <rFont val="Arial"/>
        <b val="0"/>
        <color theme="1"/>
      </rPr>
      <t xml:space="preserve">если товар дешевле минимального порога доставки, отображается уведомление.  </t>
    </r>
  </si>
  <si>
    <r>
      <rPr>
        <rFont val="Arial"/>
        <b/>
        <color theme="1"/>
      </rPr>
      <t xml:space="preserve">- Кнопка «Добавить в корзину»
</t>
    </r>
    <r>
      <rPr>
        <rFont val="Arial"/>
        <b val="0"/>
        <color theme="1"/>
      </rPr>
      <t xml:space="preserve">выбор количества, если товар продается по весу – ввод граммов/килограммов.  </t>
    </r>
  </si>
  <si>
    <r>
      <rPr>
        <rFont val="Arial"/>
        <b/>
        <color theme="1"/>
      </rPr>
      <t>Страница «Курсы металлов»</t>
    </r>
    <r>
      <rPr>
        <rFont val="Arial"/>
        <color theme="1"/>
      </rPr>
      <t xml:space="preserve">
— Текущие котировки. Таблица с актуальной ценой за грамм (Золото, Серебро, Платина) и индикатором динамики (+/- % за сутки).
— Интерактивный график. Визуализация изменения цен.
— Переключатели металлов (Табы), выбор временного периода (1 мес, 3 мес, 1 год, 3 года).</t>
    </r>
  </si>
  <si>
    <t xml:space="preserve">Корзина </t>
  </si>
  <si>
    <t>Раздел Ещё - информация</t>
  </si>
  <si>
    <r>
      <rPr>
        <rFont val="Arial"/>
        <b/>
        <color theme="1"/>
      </rPr>
      <t xml:space="preserve">- Список добавленных товаров 
</t>
    </r>
    <r>
      <rPr>
        <rFont val="Arial"/>
        <color theme="1"/>
      </rPr>
      <t xml:space="preserve">фото, название, количество, цена.  </t>
    </r>
  </si>
  <si>
    <r>
      <rPr>
        <rFont val="Arial"/>
        <b/>
        <color theme="1"/>
      </rPr>
      <t>Разводящая</t>
    </r>
    <r>
      <rPr>
        <rFont val="Arial"/>
        <color theme="1"/>
      </rPr>
      <t xml:space="preserve">
— Навигационные плитки с иконками для перехода во внутренние разделы (О Ломбарде, Помощь, Отделения, Правовая информация, Безопасность, Контакты и др.).</t>
    </r>
  </si>
  <si>
    <r>
      <rPr>
        <rFont val="Arial"/>
        <b/>
        <color theme="1"/>
      </rPr>
      <t>Страница «О Ломбарде»</t>
    </r>
    <r>
      <rPr>
        <rFont val="Arial"/>
        <color theme="1"/>
      </rPr>
      <t xml:space="preserve">
— Презентационные блоки:Миссия, сетка преимуществ, принципы работы (иконки + текст).
— Инфографика «Как мы работаем» (4 шага) и таблица сравнения «Ломбард vs Банк».
— Блок «История». Слайдер / таймлайн с вехами развития компании по годам.
— Модуль «Вакансии»:  Фильтр вакансий (Город, Отдел). Список активных вакансий с условиями и зарплатой. Кнопка «Подробнее/Откликнуться».
— Отзывы и Контакты. Дублирование слайдера отзывов и блока контактов.</t>
    </r>
  </si>
  <si>
    <r>
      <rPr>
        <rFont val="Arial"/>
        <b/>
        <color theme="1"/>
      </rPr>
      <t xml:space="preserve">Страница «Помощь» (FAQ)
</t>
    </r>
    <r>
      <rPr>
        <rFont val="Arial"/>
        <color theme="1"/>
      </rPr>
      <t>— Интерактивная карта отделов и контактная информация. 
— Список часто задаваемых вопросов с раскрывающимися ответами.
— Табы категорий (Общие вопросы, Оценка, Безопасность и т.д.).
— Форма «Остались вопросы?» Форма обратной связи для тех, кто не нашел ответа.</t>
    </r>
  </si>
  <si>
    <r>
      <rPr>
        <rFont val="Arial"/>
        <b/>
        <color theme="1"/>
      </rPr>
      <t xml:space="preserve">Страница «Отделения и пункты» 
</t>
    </r>
    <r>
      <rPr>
        <rFont val="Arial"/>
        <color theme="1"/>
      </rPr>
      <t>— Таб переключения отображения с интерактивной карты на список. 
— Карточка отделения содержит: Адрес, Часы работы, Телефон, Email.
— Интеграция с картографическим сервисом (Яндекс/Google). Вывод пинов отделений.
— Фильтрация и Поиск. Выпадающий список выбора города. Чекбоксы фильтров по принимаемому имуществу (Антиквариат, Шубы, Техника и т.д.).
— Детальная информация:При клике на пин/карточку — разворачивание подробностей.</t>
    </r>
  </si>
  <si>
    <r>
      <rPr>
        <rFont val="Arial"/>
        <b/>
        <color theme="1"/>
      </rPr>
      <t>Страница «Правовая информация»</t>
    </r>
    <r>
      <rPr>
        <rFont val="Arial"/>
        <color theme="1"/>
      </rPr>
      <t xml:space="preserve">
— Репозиторий документов: Списки файлов (PDF), сгруппированные по темам (Учредительные документы, Регламенты, Для клиентов, Законы).
— Кнопка «Скачать PDF» с указанием размера файла.</t>
    </r>
  </si>
  <si>
    <r>
      <rPr>
        <rFont val="Arial"/>
        <b/>
        <color theme="1"/>
      </rPr>
      <t xml:space="preserve">- Редактирование корзины 
</t>
    </r>
    <r>
      <rPr>
        <rFont val="Arial"/>
        <color theme="1"/>
      </rPr>
      <t xml:space="preserve">изменение количества, удаление товаров.  </t>
    </r>
  </si>
  <si>
    <r>
      <rPr>
        <rFont val="Arial"/>
        <b/>
        <color theme="1"/>
      </rPr>
      <t>Страница «Безопасность»</t>
    </r>
    <r>
      <rPr>
        <rFont val="Arial"/>
        <color theme="1"/>
      </rPr>
      <t xml:space="preserve">
— Инфо-блоки: Описание мер безопасности, причины обращений, порядок обращений. .
— Блок «Для правоохранительных органов». Специализированная форма обратной связи «Заявка от МВД» (поля: ФИО сотрудника, Звание, Орган, Скан запроса).</t>
    </r>
  </si>
  <si>
    <r>
      <rPr>
        <rFont val="Arial"/>
        <b/>
        <color theme="1"/>
      </rPr>
      <t xml:space="preserve">- Промокоды и скидки
</t>
    </r>
    <r>
      <rPr>
        <rFont val="Arial"/>
        <color theme="1"/>
      </rPr>
      <t xml:space="preserve">поле для ввода кода, отображение скидок.  </t>
    </r>
  </si>
  <si>
    <r>
      <rPr>
        <rFont val="Arial"/>
        <b/>
        <color theme="1"/>
      </rPr>
      <t xml:space="preserve">- Подсчет итоговой суммы
</t>
    </r>
    <r>
      <rPr>
        <rFont val="Arial"/>
        <color theme="1"/>
      </rPr>
      <t xml:space="preserve">с учетом скидок, доставки и др.  </t>
    </r>
  </si>
  <si>
    <r>
      <rPr>
        <rFont val="Arial"/>
        <b/>
        <color theme="1"/>
      </rPr>
      <t>Страница «Аукционы»</t>
    </r>
    <r>
      <rPr>
        <rFont val="Arial"/>
        <color theme="1"/>
      </rPr>
      <t xml:space="preserve">
— Инфо-блок. Описание этапов проведения торгов.
— Список прошедших и планируемых аукционов в виде списка документов (Протоколы, Каталоги лотов) для скачивания.</t>
    </r>
  </si>
  <si>
    <r>
      <rPr>
        <rFont val="Arial"/>
        <b/>
        <color theme="1"/>
      </rPr>
      <t xml:space="preserve">- Комментарий к заказу
</t>
    </r>
    <r>
      <rPr>
        <rFont val="Arial"/>
        <color theme="1"/>
      </rPr>
      <t>Поле для комментариев</t>
    </r>
  </si>
  <si>
    <r>
      <rPr>
        <rFont val="Arial"/>
        <b/>
        <color theme="1"/>
      </rPr>
      <t>Страница «Страховые случаи»</t>
    </r>
    <r>
      <rPr>
        <rFont val="Arial"/>
        <color theme="1"/>
      </rPr>
      <t xml:space="preserve">
— Описание процесса. Пошаговая инструкция (Уведомление -&gt; Оформление -&gt; Выплата).
— FAQ по страхованию: Аккордеон с ответами на частые вопросы.
— Форма обращения. Форма связи для фиксации страхового случая.</t>
    </r>
  </si>
  <si>
    <r>
      <rPr>
        <rFont val="Arial"/>
        <b/>
        <color theme="1"/>
      </rPr>
      <t xml:space="preserve">- Кнопка «Оформить заказ»
</t>
    </r>
    <r>
      <rPr>
        <rFont val="Arial"/>
        <color theme="1"/>
      </rPr>
      <t xml:space="preserve">- </t>
    </r>
    <r>
      <rPr>
        <rFont val="Arial"/>
        <b/>
        <color theme="1"/>
      </rPr>
      <t>Выбор способа доставки</t>
    </r>
    <r>
      <rPr>
        <rFont val="Arial"/>
        <color theme="1"/>
      </rPr>
      <t xml:space="preserve"> (самовывоз, курьерская доставка или через геолокацию).
- </t>
    </r>
    <r>
      <rPr>
        <rFont val="Arial"/>
        <b/>
        <color theme="1"/>
      </rPr>
      <t>Выбор времени доставки</t>
    </r>
    <r>
      <rPr>
        <rFont val="Arial"/>
        <color theme="1"/>
      </rPr>
      <t xml:space="preserve"> – ближайшее или удобное для пользователя.  
- </t>
    </r>
    <r>
      <rPr>
        <rFont val="Arial"/>
        <b/>
        <color theme="1"/>
      </rPr>
      <t>Выбор способа оплаты:</t>
    </r>
    <r>
      <rPr>
        <rFont val="Arial"/>
        <color theme="1"/>
      </rPr>
      <t xml:space="preserve">  
  - Онлайн (карта, Apple Pay, Google Pay).  
  - Наличными курьеру.  
  - Балансом бонусной карты (если реализовано).  
</t>
    </r>
    <r>
      <rPr>
        <rFont val="Arial"/>
        <b/>
        <color theme="1"/>
      </rPr>
      <t>- Отображение итоговой суммы</t>
    </r>
    <r>
      <rPr>
        <rFont val="Arial"/>
        <color theme="1"/>
      </rPr>
      <t xml:space="preserve"> – с учетом всех скидок.  
</t>
    </r>
    <r>
      <rPr>
        <rFont val="Arial"/>
        <b/>
        <color theme="1"/>
      </rPr>
      <t>- Кнопка «Подтвердить заказ»</t>
    </r>
    <r>
      <rPr>
        <rFont val="Arial"/>
        <color theme="1"/>
      </rPr>
      <t xml:space="preserve"> – оформление заказа, получение номера заказа.  </t>
    </r>
  </si>
  <si>
    <r>
      <rPr>
        <rFont val="Arial"/>
        <b/>
        <color theme="1"/>
      </rPr>
      <t>Страница «Контакты»</t>
    </r>
    <r>
      <rPr>
        <rFont val="Arial"/>
        <color theme="1"/>
      </rPr>
      <t xml:space="preserve">
— Контактные данные. Группировка телефонов (Справочная, Реклама, HR). Ссылки на соцсети.
— Текстовый блок с рекизитами (ИНН, ОГРН, Адрес).
— Форма обратной связи. Стандартная форма</t>
    </r>
  </si>
  <si>
    <t>Личный кабинет</t>
  </si>
  <si>
    <t>Раздел работа в ломбарде</t>
  </si>
  <si>
    <r>
      <rPr>
        <rFont val="Arial"/>
        <b/>
        <color theme="1"/>
      </rPr>
      <t xml:space="preserve">Главная страница личного кабинета
</t>
    </r>
    <r>
      <rPr>
        <rFont val="Arial"/>
        <color theme="1"/>
      </rPr>
      <t>– Приветственный блок с именем пользователя и возможностью редактирования профиля.
– Текущие заказы
– Краткое описание возможностей кабинета (история заказов, способы оплаты, адреса доставки, бонусная программа).
– Персональные предложения (скидки, акции, бонусные баллы).</t>
    </r>
  </si>
  <si>
    <r>
      <rPr>
        <rFont val="Arial"/>
        <b/>
        <color theme="1"/>
      </rPr>
      <t>Разводящая</t>
    </r>
    <r>
      <rPr>
        <rFont val="Arial"/>
        <color theme="1"/>
      </rPr>
      <t xml:space="preserve">
— Два крупных промо-блока: «Вакансии» (Станьте частью команды) и «Обучение» (Профессиональный рост).</t>
    </r>
  </si>
  <si>
    <r>
      <rPr>
        <rFont val="Arial"/>
        <b/>
        <color theme="1"/>
      </rPr>
      <t xml:space="preserve">Персональные данные
</t>
    </r>
    <r>
      <rPr>
        <rFont val="Arial"/>
        <color theme="1"/>
      </rPr>
      <t>– Имя, номер телефона, e-mail (с возможностью редактирования).
– Последние заказы
– Настройки конфиденциальности и безопасности</t>
    </r>
  </si>
  <si>
    <r>
      <rPr>
        <rFont val="Arial"/>
        <b/>
        <color theme="1"/>
      </rPr>
      <t xml:space="preserve">Раздел "Адреса доставки"
</t>
    </r>
    <r>
      <rPr>
        <rFont val="Arial"/>
        <color theme="1"/>
      </rPr>
      <t>– Список сохраненных адресов.
– Добавление нового адреса.
– Удаление/редактирование существующих адресов.</t>
    </r>
  </si>
  <si>
    <r>
      <rPr>
        <rFont val="Arial"/>
        <b/>
        <color theme="1"/>
      </rPr>
      <t xml:space="preserve">Страница «Вакансии» </t>
    </r>
    <r>
      <rPr>
        <rFont val="Arial"/>
        <color theme="1"/>
      </rPr>
      <t xml:space="preserve">
— Промо-баннер с заголовком и кнопкой «Посмотреть вакансии» (якорная ссылка к списку).
— Сетка иконок с описанием преимуществ (Стабильность, Развитие, Доход, Защита и т.д.).
— «О Ломбарде». Краткое описание компании и принципы работы (Честность, Уважение и т.д.).
— Список вакансий с фильтром. Выпадающие списки (Город, Отдел). Сетка карточек вакансий (Название, Тезисы условий, Зарплата, Кнопка «Подробнее»).
— Форма «Отклик на вакансию». Поля (Город, Имя, Телефон, Выбор вакансии из списка, Комментарий, Загрузка резюме), чекбоксы согласия.
</t>
    </r>
  </si>
  <si>
    <r>
      <rPr>
        <rFont val="Arial"/>
        <b/>
        <color theme="1"/>
      </rPr>
      <t xml:space="preserve">Раздел "История заказов"
</t>
    </r>
    <r>
      <rPr>
        <rFont val="Arial"/>
        <color theme="1"/>
      </rPr>
      <t xml:space="preserve">– Список ранее оформленных заказов с деталями (номер, дата, статус).
– Фильтрация заказов (по дате, статусу).
– Возможность повторного заказа одним нажатием.
– Просмотр деталей заказа (список товаров, сумма, способ оплаты, адрес доставки).
</t>
    </r>
  </si>
  <si>
    <r>
      <rPr>
        <rFont val="Arial"/>
        <b/>
        <color theme="1"/>
      </rPr>
      <t>Страница «Детальная вакансия»</t>
    </r>
    <r>
      <rPr>
        <rFont val="Arial"/>
        <color theme="1"/>
      </rPr>
      <t xml:space="preserve">
— Описание обязанностей, требований и условий (маркированные списки).
— Сайдбар (Боковая панель):Ключевые параметры (Зарплата, График, Опыт, Формат работы) и кнопка «Откликнуться» (скролл к форме).
— Информационный блок преимуществ с общей страницы.
— Форма отклика. Форма аналогичная, что и в общем списке. </t>
    </r>
  </si>
  <si>
    <r>
      <rPr>
        <rFont val="Arial"/>
        <b/>
        <color theme="1"/>
      </rPr>
      <t xml:space="preserve">Раздел "Способы оплаты"
</t>
    </r>
    <r>
      <rPr>
        <rFont val="Arial"/>
        <color theme="1"/>
      </rPr>
      <t>– Привязанные банковские карты, Apple Pay, Google Pay.
– Добавление/удаление карт.
– Выбор основного способа оплаты.</t>
    </r>
  </si>
  <si>
    <r>
      <rPr>
        <rFont val="Arial"/>
        <b/>
        <color theme="1"/>
      </rPr>
      <t xml:space="preserve">Страница «Обучение» </t>
    </r>
    <r>
      <rPr>
        <rFont val="Arial"/>
        <color theme="1"/>
      </rPr>
      <t xml:space="preserve">
— Заголовок, описание перспектив, кнопка «Оставить заявку».
— Карточки этапов обучения (Оплата обучения, Теория/Практика, Стажировка).
— Блок о трудоустройстве после обучения.
— Нумерованный список условий кондидатам (Возраст, Образование, Качества).
— Результаты (Что вы получите). Иконки достижений (Диплом, Рабочее место, Карьерный рост).
— Направления обучения. Карточки специальностей (Эксперт-оценщик, Специалист электроники, Администратор) с описанием навыков.
— Логотипы учебных заведений (Колледжи, Университеты).
— Слайдер историй успеха или сетка с реальными отзывами сотрудников (Фото, Имя, Стаж, Цитата о карьере).
— Форма «Обращение на обучение». (Имя, Телефон, Комментарий, Согласие).</t>
    </r>
  </si>
  <si>
    <r>
      <rPr>
        <rFont val="Arial"/>
        <b/>
        <color theme="1"/>
      </rPr>
      <t xml:space="preserve">Раздел "Уведомления"
</t>
    </r>
    <r>
      <rPr>
        <rFont val="Arial"/>
        <color theme="1"/>
      </rPr>
      <t>– Настройки push-уведомлений о статусе заказов, скидках, персональных предложениях.
– Возможность включать/отключать уведомления по категориям.</t>
    </r>
  </si>
  <si>
    <r>
      <rPr>
        <rFont val="Arial"/>
        <b/>
        <color theme="1"/>
      </rPr>
      <t xml:space="preserve">Раздел "Программа лояльности" (если реализовано)
</t>
    </r>
    <r>
      <rPr>
        <rFont val="Arial"/>
        <color theme="1"/>
      </rPr>
      <t>– Текущий баланс бонусных баллов.
– История начислений и списаний.
– Условия программы, способы использования баллов.</t>
    </r>
  </si>
  <si>
    <t>Частным лицам - Сервисы</t>
  </si>
  <si>
    <r>
      <rPr>
        <rFont val="Arial"/>
        <b/>
        <color theme="1"/>
      </rPr>
      <t xml:space="preserve">Раздел "Техническая поддержка"
</t>
    </r>
    <r>
      <rPr>
        <rFont val="Arial"/>
        <color theme="1"/>
      </rPr>
      <t>– Чат с оператором.
– Телефон горячей линии.
– Раздел "Частые вопросы".</t>
    </r>
  </si>
  <si>
    <r>
      <rPr>
        <rFont val="Arial"/>
        <b/>
        <color theme="1"/>
      </rPr>
      <t>Страница «Хранение»</t>
    </r>
    <r>
      <rPr>
        <rFont val="Arial"/>
        <color theme="1"/>
      </rPr>
      <t xml:space="preserve">
— Описание услуги безопасного хранения, кнопка « сдать на хранение».
— Преимущества. Иконки (Безопасность 24/7, Договор, Гибкие сроки).
— Описание процесса. 4 шага (Оценка -&gt; Договор -&gt; Хранение -&gt; Возврат), кнопка « сдать на хранение».
— FAQ: Аккордеон вопросов.
—  Форма ОС подбора условий. Имя, Телефон, Категория изделия, Выбор изделия (Кольца, Цепи), Срок хранения (выпадающий список), Комментарий.
— Другие услуги. Блок перелинковки.</t>
    </r>
  </si>
  <si>
    <t>Навигационное меню (нижняя панель)</t>
  </si>
  <si>
    <r>
      <rPr>
        <rFont val="Arial"/>
        <b/>
        <color theme="1"/>
      </rPr>
      <t xml:space="preserve">Главная 
</t>
    </r>
    <r>
      <rPr>
        <rFont val="Arial"/>
        <color theme="1"/>
      </rPr>
      <t>– Выбор ближайшего магазина.
– Акции, спецпредложения.
– Поиск по товарам.
– Быстрый доступ к популярным категориям.</t>
    </r>
  </si>
  <si>
    <r>
      <rPr>
        <rFont val="Arial"/>
        <b/>
        <color theme="1"/>
      </rPr>
      <t>Страница «Рассрочка»</t>
    </r>
    <r>
      <rPr>
        <rFont val="Arial"/>
        <color theme="1"/>
      </rPr>
      <t xml:space="preserve">
— Описание услуги. 
— Инфо-блоки с ключевыми условиями (Срок, условия, 0%, Документы).
— Таблица/Списковое сравнение «Рассрочка в ломбарде» vs «Банковский кредит».
— Описание процесса. 4 шага (Выбор товара -&gt; Оформление -&gt; Забор -&gt; Оплата).
— Блок, где условия (срок рассрочки) меняются при переключении уровня лояльности (Бронза — недоступно, Платина — 3 месяца и т.д.).
— Блоки «Станьте постоянным клиентом» и карточки подписок PRO/Premium.
— Слайдер интернет-магазина (товары, доступные для покупки в рассрочку).</t>
    </r>
  </si>
  <si>
    <r>
      <rPr>
        <rFont val="Arial"/>
        <b/>
        <color theme="1"/>
      </rPr>
      <t xml:space="preserve">Каталог
</t>
    </r>
    <r>
      <rPr>
        <rFont val="Arial"/>
        <color theme="1"/>
      </rPr>
      <t>– Просмотр категорий товаров.
– Фильтрация и сортировка.
– Быстрое добавление в корзину.</t>
    </r>
  </si>
  <si>
    <r>
      <rPr>
        <rFont val="Arial"/>
        <b/>
        <color theme="1"/>
      </rPr>
      <t>Корзина</t>
    </r>
    <r>
      <rPr>
        <rFont val="Arial"/>
        <color theme="1"/>
      </rPr>
      <t xml:space="preserve">
– Список товаров в заказе.
– Редактирование количества.
– Подсчет итоговой стоимости.
– Оформление заказа.</t>
    </r>
  </si>
  <si>
    <r>
      <rPr>
        <rFont val="Arial"/>
        <b/>
        <color theme="1"/>
      </rPr>
      <t xml:space="preserve">Страница «Деньги на дом» </t>
    </r>
    <r>
      <rPr>
        <rFont val="Arial"/>
        <color theme="1"/>
      </rPr>
      <t>(Выезд курьера)
— Заголовок, имиджевое фото, кнопка «Оставить заявку» (скролл к форме).
— Описание процесса. 5 шагов работы (Регистрация -&gt; Заявка -&gt; Одобрение -&gt; Получение).
— Категории залога. Плитка иконок (Золото, Техника, Антиквариат и др.)
— Сетка выгод (Безопасность, Анонимность, Быстрое одобрение).
— FAQ: Аккордеон с частыми вопросами.
— Блок заявки (Вариативный):
  - Гость: Предложение войти в аккаунт (форма авторизации).
  - Авторизован: (Не подвержден). Предупреждение о необходимости обращения в филиал ломбарда, кнопка «Найти ломбард».
  - Авторизован:(подтвержден) Развернутая форма заявки: Адрес (Улица, Дом), Категория изделия, Выбор из списка, Комментарий, Чекбоксы согласия.
— Другие услуги: Блок перелинковки (Займы, Хранение, Скупка).</t>
    </r>
  </si>
  <si>
    <r>
      <rPr>
        <rFont val="Arial"/>
        <b/>
        <color theme="1"/>
      </rPr>
      <t xml:space="preserve">Профиль (Личный кабинет)
</t>
    </r>
    <r>
      <rPr>
        <rFont val="Arial"/>
        <color theme="1"/>
      </rPr>
      <t>– Персональные данные.
– Адреса доставки.
– Способы оплаты.
– История заказов.
– Настройки уведомлений.
– Программа лояльности.
– Поддержка и связь с оператором.</t>
    </r>
  </si>
  <si>
    <r>
      <rPr>
        <rFont val="Arial"/>
        <b/>
        <color theme="1"/>
      </rPr>
      <t>Страница «Онлайн оценка»</t>
    </r>
    <r>
      <rPr>
        <rFont val="Arial"/>
        <color theme="1"/>
      </rPr>
      <t xml:space="preserve">
— Промо-блок услуги.
— Калькулятор оценки (Расширенный):
  - Табы: «Быстрая оценка» / «Подробная оценка».
  - Поля: Категория, Тип, Материал, Проба, Вес, Загрузка фото.
  - Динамический сайдбар: «Наше предложение» (Сумма, Срок, Ставка) обновляется в реальном времени.
— Справочный блок тарифов с вкладками уровней лояльности (Стандарт, Бронза и т.д.) и условиями (переиспользование из ЛК).
— Процесс. 3 шага (Заполните форму -&gt; Оценка -&gt; Документы).
— Стандартная форма обратной связи.</t>
    </r>
  </si>
  <si>
    <t xml:space="preserve"> Страница сотрудника</t>
  </si>
  <si>
    <t>Частным лицам - Сервисы - оплатить займ</t>
  </si>
  <si>
    <r>
      <rPr>
        <rFont val="Arial"/>
        <b/>
        <color theme="1"/>
      </rPr>
      <t xml:space="preserve">Страница «Оплата займа»
</t>
    </r>
    <r>
      <rPr>
        <rFont val="Arial"/>
        <color theme="1"/>
      </rPr>
      <t>— Поле ввода номера залогового билета / займа для получения информации задолженности. Кнопка авторизации. 
    - Сценарий 1: оповещение «залоговый билет не найден»
    - Сценарий 2: Отображение №займа, отображение задолженности по % на текущую дату, сумма задолженности, кнопка «оплатить»
— Форма оплаты: Виджет с информацией о займе (Номер, Сумма долга на текущую дату). Интерактивный слайдер (ползунок) выбора суммы + поле ручного ввода. Поле ввода Email для чека.
— Платежный блок: Выбор способа оплаты: Кнопка «Оплатить картой» и «Оплатить через СБП»
— «Успешная оплата»: Экран подтверждения транзакции. Отображение деталей (Сумма выкупа, остаток долга). Кнопки «Вернуться на главную» / «Оплатить другой заём».
— FAQ:Аккордеон с ответами на вопросы (Как оплатить проценты, Как погасить частично, Как закрыть заём полностью).</t>
    </r>
  </si>
  <si>
    <r>
      <rPr>
        <rFont val="Arial"/>
        <color theme="1"/>
      </rPr>
      <t xml:space="preserve">- Приветственный блок с именем сотрудника и текущей сменой.
- Статистика по заказам (например, "Собрано: 5 | В работе: 3 | Новые: 2").
</t>
    </r>
    <r>
      <rPr>
        <rFont val="Arial"/>
        <b/>
        <color theme="1"/>
      </rPr>
      <t xml:space="preserve">Фильтры заказов:
</t>
    </r>
    <r>
      <rPr>
        <rFont val="Arial"/>
        <color theme="1"/>
      </rPr>
      <t>- Все заказы
- Новые заказы (ожидают подтверждения)
- В процессе сборки
- Собранные (готовы к передаче курьеру)
- Отмененные</t>
    </r>
  </si>
  <si>
    <r>
      <rPr>
        <rFont val="Arial"/>
        <b/>
        <color theme="1"/>
      </rPr>
      <t xml:space="preserve">Карточка заказа
</t>
    </r>
    <r>
      <rPr>
        <rFont val="Arial"/>
        <color theme="1"/>
      </rPr>
      <t xml:space="preserve">- Номер заказа (#12345)
- Дата и время поступления
- Тип заказа (доставка или самовывоз)
- Имя клиента, телефон
- Адрес доставки
- Желаемое время доставки
- Оплачено / Оплата при получении
- Комментарий клиента (например, "Добавьте больше зелени" или "Не звонить, только писать в WhatsApp")
</t>
    </r>
    <r>
      <rPr>
        <rFont val="Arial"/>
        <b/>
        <color theme="1"/>
      </rPr>
      <t xml:space="preserve">- Список товаров с количеством
</t>
    </r>
    <r>
      <rPr>
        <rFont val="Arial"/>
        <color theme="1"/>
      </rPr>
      <t xml:space="preserve">- например, "Френчдог свинина" - 1 шт.)
- Отображение остатков (например, "На складе: 3 шт.")
</t>
    </r>
  </si>
  <si>
    <r>
      <rPr>
        <rFont val="Arial"/>
        <b/>
        <color theme="1"/>
      </rPr>
      <t xml:space="preserve">Процесс сброки заказа
- "Принят в работу" </t>
    </r>
    <r>
      <rPr>
        <rFont val="Arial"/>
        <b val="0"/>
        <color theme="1"/>
      </rPr>
      <t>– сборщик подтверждает, что начал комплектовать заказ.</t>
    </r>
    <r>
      <rPr>
        <rFont val="Arial"/>
        <b/>
        <color theme="1"/>
      </rPr>
      <t xml:space="preserve">
- "Товары собираются"</t>
    </r>
    <r>
      <rPr>
        <rFont val="Arial"/>
        <b val="0"/>
        <color theme="1"/>
      </rPr>
      <t xml:space="preserve"> – прогресс сбора (например, "3 из 5 товаров собрано").</t>
    </r>
    <r>
      <rPr>
        <rFont val="Arial"/>
        <b/>
        <color theme="1"/>
      </rPr>
      <t xml:space="preserve">
- "Готов к выдаче" </t>
    </r>
    <r>
      <rPr>
        <rFont val="Arial"/>
        <b val="0"/>
        <color theme="1"/>
      </rPr>
      <t>– все товары собраны, заказ ожидает курьера или самовывоза.</t>
    </r>
    <r>
      <rPr>
        <rFont val="Arial"/>
        <b/>
        <color theme="1"/>
      </rPr>
      <t xml:space="preserve">
- "Передан в доставку" </t>
    </r>
    <r>
      <rPr>
        <rFont val="Arial"/>
        <b val="0"/>
        <color theme="1"/>
      </rPr>
      <t xml:space="preserve">– заказ передан курьеру или ожидает клиента в точке самовывоза.
</t>
    </r>
    <r>
      <rPr>
        <rFont val="Arial"/>
        <b/>
        <color theme="1"/>
      </rPr>
      <t xml:space="preserve">Фукнционал:
</t>
    </r>
    <r>
      <rPr>
        <rFont val="Arial"/>
        <b val="0"/>
        <color theme="1"/>
      </rPr>
      <t>– Подтверждение каждого товара – кнопка «Добавить в заказ».
– Замена товаров – если товара нет в наличии, можно выбрать аналог.
– Обновление статуса – например, “Товар отсутствует, ожидаем клиента” (если требуется согласование).
– Добавление фото товара (по запросу клиента) – например, если клиент хочет убедиться в качестве.
– Комментарии к сборке – например, "Добавлен заменитель".</t>
    </r>
  </si>
  <si>
    <r>
      <rPr>
        <rFont val="Arial"/>
        <b/>
        <color theme="1"/>
      </rPr>
      <t xml:space="preserve">Передача заказа в доставку
После сбора сотрудник подтверждает, что заказ готов:
</t>
    </r>
    <r>
      <rPr>
        <rFont val="Arial"/>
        <b val="0"/>
        <color theme="1"/>
      </rPr>
      <t xml:space="preserve">- Если заказ самовывоз – появляется кнопка «Заказ ожидает клиента».
- Если заказ курьерский – автоматически отправляется курьеру или агрегатору доставки (например, Яндекс.Еда).
</t>
    </r>
    <r>
      <rPr>
        <rFont val="Arial"/>
        <b/>
        <color theme="1"/>
      </rPr>
      <t xml:space="preserve">Информация для курьера:
</t>
    </r>
    <r>
      <rPr>
        <rFont val="Arial"/>
        <b val="0"/>
        <color theme="1"/>
      </rPr>
      <t>- Адрес и телефон клиента.
- Номер заказа.
- Список товаров.
Инструкция по доставке (если есть).</t>
    </r>
  </si>
  <si>
    <t>Частным лицам - Скупка</t>
  </si>
  <si>
    <r>
      <rPr>
        <rFont val="Arial"/>
        <b/>
        <color theme="1"/>
      </rPr>
      <t xml:space="preserve">Бэклог заказов (История работы сотрудника)
</t>
    </r>
    <r>
      <rPr>
        <rFont val="Arial"/>
        <color theme="1"/>
      </rPr>
      <t>- Список всех обработанных заказов.
- Фильтр по дате, статусу, типу заказа.
- Возможность повторного просмотра деталей.
- Статистика: сколько заказов обработано за смену.</t>
    </r>
  </si>
  <si>
    <r>
      <rPr>
        <rFont val="Arial"/>
        <b/>
        <color theme="1"/>
      </rPr>
      <t xml:space="preserve">Основаня страница
</t>
    </r>
    <r>
      <rPr>
        <rFont val="Arial"/>
        <color theme="1"/>
      </rPr>
      <t>— Заголовок, фоновое изображение, кнопка «Оставить заявку»
— Сравнительные карточки двух моделей работы: «Скупка» (деньги сразу) и «Комиссия» (продажа через магазин, деньги после реализации).
— Сетка иконок (Драгоценные металлы, Электроника, Автомобили, Складские остатки и др.) для перехода на детальные страницы.
— Иконки с описанием (Прозрачность, Скорость, Цена, Юридическая защита).
— Процесс работы. 4 шага (Оценка -&gt; Выбор варианта -&gt; Оформление -&gt; Деньги).
— Блок B2B. Баннер с предложением выкупа складских остатков и крупных партий. Кнопка «Подробнее об условиях».
— Таблица стоимости. Табы с выбором металла (Золото, Серебро, Платина). Таблица: Проба -&gt; Стоимость за грамм.
— FAQ.  Аккордеон часто задаваемых вопросов
— Форма заявки (Оценка и скупка). Контакты, Категория (кнопки), Описание изделия, Фото, Согласия.</t>
    </r>
  </si>
  <si>
    <r>
      <rPr>
        <rFont val="Arial"/>
        <b/>
        <color theme="1"/>
      </rPr>
      <t xml:space="preserve">Возможные доп. функции
</t>
    </r>
    <r>
      <rPr>
        <rFont val="Arial"/>
        <color theme="1"/>
      </rPr>
      <t>- Push-уведомления о новых заказах.
- Чат с клиентом или менеджером (если требуется уточнение).
- Аналитика и бонусная система (например, за скорость и точность сборки начисляются бонусы).</t>
    </r>
  </si>
  <si>
    <t xml:space="preserve"> Интеграции</t>
  </si>
  <si>
    <r>
      <rPr>
        <rFont val="Arial"/>
        <b/>
        <color theme="1"/>
      </rPr>
      <t>Страница категории</t>
    </r>
    <r>
      <rPr>
        <rFont val="Arial"/>
        <color theme="1"/>
      </rPr>
      <t xml:space="preserve"> (Шаблон на примере «Драгоценные металлы»)
— Заголовок, фоновое изображение, кнопка «Оставить заявку»
— Блок «Скупка vs Комиссия»
— Процесс работы. 4 шага
— Блок иконок преимущества
— Таблица цен. Для металлов — таблица проб. (Для других категорий здесь может быть список брендов или типов устройств)
— FAQ.  Аккордеон часто задаваемых вопросов
— Форма заяв
— Другие категории. Блок перелинковки (Сетка иконок) для перехода в соседние разделы (например, Электроника, Бытовая техника).</t>
    </r>
  </si>
  <si>
    <r>
      <rPr>
        <rFont val="Arial"/>
        <b/>
        <color theme="1"/>
      </rPr>
      <t xml:space="preserve">Интеграция с 1С
- Автоматическая синхронизация данных:  
</t>
    </r>
    <r>
      <rPr>
        <rFont val="Arial"/>
        <color theme="1"/>
      </rPr>
      <t xml:space="preserve">  - Фото товаров.  
  - Цены.  
  - Остатки на складах (в каждом магазине).  
</t>
    </r>
    <r>
      <rPr>
        <rFont val="Arial"/>
        <b/>
        <color theme="1"/>
      </rPr>
      <t xml:space="preserve">- Обновление данных каждые X минут (например, 15 мин).  
- Выгрузка данных заказов в 1С для обработки.  </t>
    </r>
  </si>
  <si>
    <t>Частным лицам - Ломбард</t>
  </si>
  <si>
    <r>
      <rPr>
        <rFont val="Arial"/>
        <b/>
        <color theme="1"/>
      </rPr>
      <t xml:space="preserve">Интеграция с агрегаторами доставки (Яндекс.Еда и др.)  
- Передача данных о товарах в агрегаторы </t>
    </r>
    <r>
      <rPr>
        <rFont val="Arial"/>
        <color theme="1"/>
      </rPr>
      <t>– цены, наличие, фото.  
-</t>
    </r>
    <r>
      <rPr>
        <rFont val="Arial"/>
        <b/>
        <color theme="1"/>
      </rPr>
      <t xml:space="preserve"> Синхронизация заказов </t>
    </r>
    <r>
      <rPr>
        <rFont val="Arial"/>
        <color theme="1"/>
      </rPr>
      <t xml:space="preserve">– информация о статусе и времени доставки.  
</t>
    </r>
    <r>
      <rPr>
        <rFont val="Arial"/>
        <b/>
        <color theme="1"/>
      </rPr>
      <t>- Возможность выбора агрегатора при оформлении заказа</t>
    </r>
    <r>
      <rPr>
        <rFont val="Arial"/>
        <color theme="1"/>
      </rPr>
      <t xml:space="preserve"> – если доставка возможна через сторонние сервисы.  
</t>
    </r>
  </si>
  <si>
    <r>
      <rPr>
        <rFont val="Arial"/>
        <b/>
        <color theme="1"/>
      </rPr>
      <t xml:space="preserve">Страница «Свой в ломбарде» </t>
    </r>
    <r>
      <rPr>
        <rFont val="Arial"/>
        <color theme="1"/>
      </rPr>
      <t xml:space="preserve">
— Описание статуса участника, кнопка «Стать своим».
— Сетка иконок преимуществ (Бонусы, Спецпредложения, Приоритет).
— Процесс 4 шага (Регистрация -&gt; Посещение -&gt; Отзыв -&gt; Бонусы).
— Форма регистрации.  Анкета (ФИО, Телефон, Город, Комментарий) для вступления в клуб.</t>
    </r>
  </si>
  <si>
    <r>
      <rPr>
        <rFont val="Arial"/>
        <b/>
        <color theme="1"/>
      </rPr>
      <t>Страница «Иностранцам»</t>
    </r>
    <r>
      <rPr>
        <rFont val="Arial"/>
        <color theme="1"/>
      </rPr>
      <t xml:space="preserve">
— Главный экран: УТП для иностранных граждан.
— Преимущества и Документы. Иконки условий (валюта, сроки) и список требуемых документов (Паспорт, Миграционная карта).
— FAQ.
— Форма заявки.</t>
    </r>
  </si>
  <si>
    <t>Административная панель</t>
  </si>
  <si>
    <r>
      <rPr>
        <rFont val="Arial"/>
        <b/>
        <color theme="1"/>
      </rPr>
      <t>Страница «Программа лояльности»</t>
    </r>
    <r>
      <rPr>
        <rFont val="Arial"/>
        <color theme="1"/>
      </rPr>
      <t xml:space="preserve">
— Таблица уровней: Детальная сравнительная таблица привилегий (Бронза, Серебро, Золото...) со значениями (сумма займа, скидки, проценты).
— Условия переходов: Инфографика по порогам входа (от 10 000 ₽ и т.д.).
— Тарифная сетка: Переключение табов по уровням лояльности (показывает изменение условий займа в зависимости от статуса).
—  Блок «стань своим в ломбарде», кнопка « Подробнее»
— FAQ.</t>
    </r>
  </si>
  <si>
    <r>
      <rPr>
        <rFont val="Arial"/>
        <b/>
        <color theme="1"/>
      </rPr>
      <t>«Прейскурант»</t>
    </r>
    <r>
      <rPr>
        <rFont val="Arial"/>
        <color theme="1"/>
      </rPr>
      <t xml:space="preserve">
— Таблица  актуальных цен за грамм для разных проб (Золото, Серебро, Платина, Палладий).
— Калькулятор оценки.
— График курсов. Виджет динамики цен на металлы (График + % изменений).</t>
    </r>
  </si>
  <si>
    <r>
      <rPr>
        <rFont val="Arial"/>
        <b/>
        <color theme="1"/>
      </rPr>
      <t>Страница «Тарифы»</t>
    </r>
    <r>
      <rPr>
        <rFont val="Arial"/>
        <color theme="1"/>
      </rPr>
      <t xml:space="preserve">
— Карточки кредитных продуктов (Первый заём, Правильный выбор) с описанием ставок.
— Карточки тарифов (Заголовок, описание, ставка, % в год, сумма займа) с  Фильтр лояльности:Табы уровней (Стандарт... Premium), меняющие цифры в карточках тарифов.
— Калькулятор оценки.
— Процесс 4 шага работы программы лояльности
— Блок «Программа лояльности»  Призыв «Станьте постоянным клиентом». Список преимуществ (отсрочка, бонусы). Визуализация статусов (Бронза, Серебро, Золото, Платина, Палладий) с порогами входа. Кнопка перехода к программе
— Блок «Подписки» Крупные карточки платных тарифов «PRO» и «Premium». Маркированные списки привилегий (+% к оценке, бесплатное хранение, скидки партнеров). Кнопки покупки с ценами.
— Отзывы:Слайдер с отзывами клиентов 
— FAQ</t>
    </r>
  </si>
  <si>
    <t>Итого по этапам</t>
  </si>
  <si>
    <r>
      <rPr>
        <rFont val="Arial"/>
        <b/>
        <color theme="1"/>
      </rPr>
      <t>Раздел «Акции»</t>
    </r>
    <r>
      <rPr>
        <rFont val="Arial"/>
        <color theme="1"/>
      </rPr>
      <t xml:space="preserve">
— Сетка баннеров акций с тегами (Акция ограничена, Новинка) и датами.
— Детальная страница акции:Текстовый контент (Заголовки, списки, таблицы), блок «Внимание/Важно», кнопка участия. Слайдер «Другие акции».</t>
    </r>
  </si>
  <si>
    <r>
      <rPr>
        <rFont val="Arial"/>
        <b/>
        <color theme="1"/>
      </rPr>
      <t xml:space="preserve">Страница «Займы под залог» </t>
    </r>
    <r>
      <rPr>
        <rFont val="Arial"/>
        <color theme="1"/>
      </rPr>
      <t xml:space="preserve">
— Категории. Плитка ссылок на посадочные страницы категорий (Ювелирные изделия, Авто, Техника и др.
— Ссылки на доп. услуги (Онлайн оценка, Гашение, Справки)</t>
    </r>
  </si>
  <si>
    <r>
      <rPr>
        <rFont val="Arial"/>
        <b/>
        <color theme="1"/>
      </rPr>
      <t xml:space="preserve">Страница «Детальная странциа категории» </t>
    </r>
    <r>
      <rPr>
        <rFont val="Arial"/>
        <color theme="1"/>
      </rPr>
      <t>(шаблон)
—  Заголовок категории + Калькулятор оценки.
— Инфо-блоки. Параметры оценки (Вес, Камни), Принимаемые бренды/типы изделий.
— Ссылки на смежные услуги.</t>
    </r>
  </si>
  <si>
    <r>
      <rPr>
        <rFont val="Arial"/>
        <b/>
        <color theme="1"/>
      </rPr>
      <t>Страница «Рефинансирование»</t>
    </r>
    <r>
      <rPr>
        <rFont val="Arial"/>
        <color theme="1"/>
      </rPr>
      <t xml:space="preserve">
— Банер, кнопка «Оставить заявку».
— О прегорамме, иконки (Снижение платежа, Без скрытых комиссий).
— Процесс 4 шага переоформления займа.
— Список требований (Наличие предмета, Паспорт).
— Лид-форма на рефинансирование.
— Ссылки на смежные услуги.</t>
    </r>
  </si>
  <si>
    <r>
      <rPr>
        <rFont val="Arial"/>
        <b/>
        <color theme="1"/>
      </rPr>
      <t>Страница «Как получить отсрочку»</t>
    </r>
    <r>
      <rPr>
        <rFont val="Arial"/>
        <color theme="1"/>
      </rPr>
      <t xml:space="preserve">
— Блоки причин (Медицинские, Семейные и т.д.).
— Процесс 4 шага получения отсрочки.
— Условия по статусам:Инфо-блоки, показывающие сроки отсрочки для разных статусов (Платина — 2 дня, Подписка PRO — 14 дней и т.д.).
— Блок «Программа лояльности»  Список преимуществ (отсрочка, бонусы). Визуализация статусов (Бронза, Серебро, Золото, Платина, Палладий). Кнопка перехода к программе
— Блок «Подписки» Крупные карточки платных тарифов «PRO» и «Premium». Маркированные списки привилегий (+% к оценке, бесплатное хранение, скидки партнеров). Кнопки покупки с ценами.
— Форма заявки на отсрочку (Контакты, сумма задолженности, причина отсрочки)
— Ссылки на смежные услуги.</t>
    </r>
  </si>
  <si>
    <r>
      <rPr>
        <rFont val="Arial"/>
        <b/>
        <color theme="1"/>
      </rPr>
      <t xml:space="preserve">Страница «Справки» 
</t>
    </r>
    <r>
      <rPr>
        <rFont val="Arial"/>
        <color theme="1"/>
      </rPr>
      <t>— Банер
— Процесс 4 шага получения справки.
— Виды справок. Карточки доступных документов (О задолженности, О платеже, О предмете залога, Для налоговой). Кнопка «Заказать» на каждой.
— Сценарии заказа:
  - Для неавторизованных: Модальное окно с требованием войти в ЛК.
  - Форма заказа: Выпадающие списки (Вид справки, Договор, Способ получения: Email/В отделении).
— FAQ</t>
    </r>
  </si>
  <si>
    <t>Бизнесу</t>
  </si>
  <si>
    <r>
      <rPr>
        <rFont val="Arial"/>
        <b/>
        <color theme="1"/>
      </rPr>
      <t>Страница «Для бизнеса»</t>
    </r>
    <r>
      <rPr>
        <rFont val="Arial"/>
        <color theme="1"/>
      </rPr>
      <t xml:space="preserve">
— Банер, кнопка «Оставить заявку».
— Об услуге: Сетка иконок с преимуществами (Оценка, Минимальные требования, Гибкость, Ассортимент).
— Процесс: 4 шага (Заявка -&gt; Оценка -&gt; Сделка -&gt; Деньги).
— Плитки категорий имущества (Металлы, Электроника, Спецтехника, Складские остатки и др.).
— Блок преимущества
— FAQ
— Форма заявк (Название компании, ИНН, Категория имущества (теги), Комментарий)</t>
    </r>
  </si>
  <si>
    <r>
      <rPr>
        <rFont val="Arial"/>
        <b/>
        <color theme="1"/>
      </rPr>
      <t>Страница «Драгоценные металы»</t>
    </r>
    <r>
      <rPr>
        <rFont val="Arial"/>
        <color theme="1"/>
      </rPr>
      <t xml:space="preserve">
— Об инвестициях: Описание активов (Золото, Серебро, Платина, Палладий).
— Преимущества: Иконки (Стабильность, Защита от инфляции, Ликвидность).
— Текущий курс: Таблица котировок с динамикой изменений (%).
— Интерактивные графики:Визуализация цены. Табы (Металлы), Фильтр периода (1 мес, 3 мес, 1 год).
— Новости. Сетка статей (Превью новостей с тегом «Аналитика рынка»).</t>
    </r>
  </si>
  <si>
    <r>
      <rPr>
        <rFont val="Arial"/>
        <b/>
        <color theme="1"/>
      </rPr>
      <t xml:space="preserve">Страница «Партнерская программа»
</t>
    </r>
    <r>
      <rPr>
        <rFont val="Arial"/>
        <color theme="1"/>
      </rPr>
      <t>— Банер, кнопка «Стать партнером»
— Условия: Иконки (Обучение, Инструменты, Индивидуальный подход).
— Преимущества: Сетка выгод (Доход, Минимум усилий).
— Плитка отраслей (Ритейл, Автосалоны, Ювелирные, Онлайн).
— Пример кейсов интеграции (заголовок, + логотип партнера + описание).
— Форма заявки на партнерство ( контакты, название компании, коментарий).</t>
    </r>
  </si>
  <si>
    <r>
      <rPr>
        <rFont val="Arial"/>
        <b/>
        <color theme="1"/>
      </rPr>
      <t xml:space="preserve">Страница «Инвестиции и проекты»
</t>
    </r>
    <r>
      <rPr>
        <rFont val="Arial"/>
        <color theme="1"/>
      </rPr>
      <t>— Банер, кнопка «предложить проект»
— Инвестиционная деятельность: сетка иконки + текстовое описание (Технологии, Недвижимость, Экология, Биотех).
— Действующие проекты. Табы (Группа компаний / Стартапы). Сетка карточек с описанием проектов.
— Call-to-action: Блок «Получите инвестиции на запуск».
— Форма заявки: Заявка на инвестирование/партнерство.</t>
    </r>
  </si>
  <si>
    <r>
      <rPr>
        <rFont val="Arial"/>
        <b/>
        <color theme="1"/>
      </rPr>
      <t>Страница «Инвестиции в стартапы»</t>
    </r>
    <r>
      <rPr>
        <rFont val="Arial"/>
        <color theme="1"/>
      </rPr>
      <t xml:space="preserve">
— О компании: Текстовый блок о поддержке инноваций.
— Условия: Сетка преимуществ для инвесторов (Гибкость, Прозрачность, Риски).
— Успешные проекты: Карточки кейсов (Название, Описание, Сфера: BioMed, SkyCity и т.д.). Кнопка, «Смотреть проекты»
— Направления: Иконки сфер (Технологии, Недвижимость, Экология).
— Форма связи: Заявка для инвестора (Контактная информация, название компании, описание идеи, условия инвестирования, сумма вложений)</t>
    </r>
  </si>
  <si>
    <r>
      <rPr>
        <rFont val="Arial"/>
        <b/>
        <color theme="1"/>
      </rPr>
      <t xml:space="preserve">Раздел «Новости и аналитика» </t>
    </r>
    <r>
      <rPr>
        <rFont val="Arial"/>
        <color theme="1"/>
      </rPr>
      <t xml:space="preserve">
— Список новостей: Фильтр (Дата, Теги: Драгметаллы, Аналитика, Рынок). Сетка карточек. Пагинация.
— Детальная новость: 
    - Заголовок, Дата, Теги, Кнопка «Поделиться».
    - Контент: Текст, Заголовки H2-H3, Списки, Цитаты, Таблицы.
    - Медиа: Фото, Видео.
    - Блок карточки «Другие новости»</t>
    </r>
  </si>
  <si>
    <r>
      <rPr>
        <rFont val="Arial"/>
        <b/>
        <color theme="1"/>
      </rPr>
      <t xml:space="preserve">Страница «Инвесторам» </t>
    </r>
    <r>
      <rPr>
        <rFont val="Arial"/>
        <color theme="1"/>
      </rPr>
      <t xml:space="preserve">
— Карточки активов группы компаний  с ключевыми показателями (Название, описание, Оборот, Количество точек  и т.п.).
— Список файлов для скачивания (Финансовый отчет, Прибыль и убытки). Кнопки «Скачать PDF».
—  Информационный блок: 4 шага инвестирования.
— FAQ
— Форма заявки «стать инвестором»</t>
    </r>
  </si>
  <si>
    <r>
      <rPr>
        <rFont val="Arial"/>
        <b/>
        <color theme="1"/>
      </rPr>
      <t>Страница «Стратегия развития»</t>
    </r>
    <r>
      <rPr>
        <rFont val="Arial"/>
        <color theme="1"/>
      </rPr>
      <t xml:space="preserve">
— Главный банер с вводным текстом и изображением. 
*Блок «Стратегия группы компаний»: Слайдер/скролл с карточками компаний, («Цель до 2030 года», «Ключевые задачи» (маркированный список) и «Развитие» (таймлайн по годам 2026–2030).
— Блок «Ключевые цели развития»: Сетка из 4-х информационных карточек с иконками
— Блок «Развитие направлений»: Сетка карточек (8 шт.) с иконками инвестиционных направлений 
— Форма  «Оставьте заявку»</t>
    </r>
  </si>
  <si>
    <r>
      <rPr>
        <rFont val="Arial"/>
        <b/>
        <color theme="1"/>
      </rPr>
      <t xml:space="preserve">Раздел: Помощь бизнесу
</t>
    </r>
    <r>
      <rPr>
        <rFont val="Arial"/>
        <color theme="1"/>
      </rPr>
      <t>— Блок с полными реквизитами юрлица (ИНН, КПП, ОГРН), юридическим адресом, режимом работы, телефоном и email.
— FAQ с навигацией через табы (Общие вопросы, Условия для бизнеса, Залог имущества, Программы лояльности). Список вопросов в формате «аккордеон» (раскрывающиеся ответы).
— Форма «Остались вопросы?»</t>
    </r>
  </si>
  <si>
    <t>Premium</t>
  </si>
  <si>
    <t>— Главный банер, кнопка «Стать премиум-клиентом».
— Сетка иконок с описанием эксклюзивных преимуществ (Повышенная оценка, Доступность 24/7, Бонусы партнеров).
— Большая сравнительная таблица всех статусов лояльности (Бронза -&gt; Premium) с цифрами и условиями.
— Карточки тарифов (Заголовок, описание, ставка, % в год, сумма займа) с  Фильтр лояльности:Табы уровней (Стандарт... Premium), меняющие цифры в карточках тарифов.
— Имиджевый блок с описанием сервиса (Персональный менеджер, Эксклюзив) и кнопкой действия.
— FAQ</t>
  </si>
  <si>
    <t>Исследование предметной области
— Сбор требований к проекту
— Изучение предметной области
— Изучение конкурентов и подбор референсов (3-4 шт)
— Построение структуры проекта</t>
  </si>
  <si>
    <t>Дополнительно</t>
  </si>
  <si>
    <r>
      <rPr>
        <rFont val="Arial"/>
        <b/>
        <color theme="1"/>
      </rPr>
      <t>Интеграция с Учетной системой заказчика (Двусторонний обмен)</t>
    </r>
    <r>
      <rPr>
        <rFont val="Arial"/>
        <color theme="1"/>
      </rPr>
      <t xml:space="preserve">
— Данные пользователей (Авторизация, Профиль, Статусы «Свой в ломбарде»).
— Программа лояльности (Уровни, Привилегии, Расчет условий).
— Займы (Получение списка, Детализация, История, Операции добора/погашения).
— Хранение (Список предметов, Статусы, Оплата).
— Имущество (Синхронизация списка, Оценка, Перевод в залог).
— Документы (Генерация и скачивание справок/договоров).
— Чат поддержки (Обмен сообщениями и файлами с оператором).
— Формы обратной связи (Передача лидов в CRM).</t>
    </r>
  </si>
  <si>
    <r>
      <rPr>
        <rFont val="Arial"/>
        <b/>
        <color theme="1"/>
      </rPr>
      <t>Платежные интеграции</t>
    </r>
    <r>
      <rPr>
        <rFont val="Arial"/>
        <color theme="1"/>
      </rPr>
      <t xml:space="preserve">
— SberPay | СБП | Эквайринг (Оплата займов, процентов, подписок)</t>
    </r>
  </si>
  <si>
    <t>Работы по прототипированию экранов</t>
  </si>
  <si>
    <t>Экраны и функции</t>
  </si>
  <si>
    <r>
      <rPr>
        <rFont val="Arial"/>
        <b/>
        <color theme="1"/>
      </rPr>
      <t>SMS-шлюз</t>
    </r>
    <r>
      <rPr>
        <rFont val="Arial"/>
        <color theme="1"/>
      </rPr>
      <t xml:space="preserve">
— Интеграция для отправки кодов подтверждения (OTP) и уведомлений</t>
    </r>
  </si>
  <si>
    <r>
      <rPr>
        <rFont val="Arial"/>
        <b/>
        <color theme="1"/>
      </rPr>
      <t>Разработка API Документации</t>
    </r>
    <r>
      <rPr>
        <rFont val="Arial"/>
        <color theme="1"/>
      </rPr>
      <t xml:space="preserve">
— Написание технической документации для интеграции с учетной системой Заказчика.</t>
    </r>
  </si>
  <si>
    <t>Экран загрузки приложения (сплэш-скрин)</t>
  </si>
  <si>
    <t>Приветственный экран
— Ввод номера телефона
— Валидация номера телефона
— Отправка кода для авторизации
— Экран ввода кода
— Валидация кода
— Экран успешного подтверждения телефона
— Биометрическая аутентификация (Face ID/Touch ID)
— Восстановление доступа (SMS)</t>
  </si>
  <si>
    <t>Основная навигация</t>
  </si>
  <si>
    <r>
      <rPr>
        <rFont val="Arial"/>
        <b/>
        <color theme="1"/>
      </rPr>
      <t xml:space="preserve">Основная навигация </t>
    </r>
    <r>
      <rPr>
        <rFont val="Arial"/>
        <color theme="1"/>
      </rPr>
      <t xml:space="preserve">
— Таббар
— Футер
— Меню</t>
    </r>
  </si>
  <si>
    <t>Главный экран</t>
  </si>
  <si>
    <r>
      <rPr>
        <rFont val="Arial"/>
        <b/>
        <color theme="1"/>
      </rPr>
      <t>Экран сторис</t>
    </r>
    <r>
      <rPr>
        <rFont val="Arial"/>
        <color theme="1"/>
      </rPr>
      <t xml:space="preserve">
— Экран одной сторис с подсказкой
— Переход между сторис
— Каунтер сторис
— Возможность закрыть сторис </t>
    </r>
  </si>
  <si>
    <r>
      <rPr>
        <rFont val="Arial"/>
        <b/>
        <color theme="1"/>
      </rPr>
      <t>Блок быстрых действий (квадратики):</t>
    </r>
    <r>
      <rPr>
        <rFont val="Arial"/>
        <color theme="1"/>
      </rPr>
      <t xml:space="preserve">
— Оплатить займ (ведущее действие!)
— Онлайн-оценка
— Калькулятор займа
— Наши отделения
— Личный кабинет</t>
    </r>
  </si>
  <si>
    <t xml:space="preserve">Баннер блок (слайдер) </t>
  </si>
  <si>
    <t>Мини-калькулятор займа (виджет): Сумма + срок → примерный % (кнопка "Рассчитать детально"</t>
  </si>
  <si>
    <t xml:space="preserve">Личный кабинет (ЛК) </t>
  </si>
  <si>
    <r>
      <rPr>
        <rFont val="Arial"/>
        <b/>
        <color theme="1"/>
      </rPr>
      <t xml:space="preserve">Экран авторизации
</t>
    </r>
    <r>
      <rPr>
        <rFont val="Arial"/>
        <color theme="1"/>
      </rPr>
      <t>Телефон → SMS → вход</t>
    </r>
  </si>
  <si>
    <r>
      <rPr>
        <rFont val="Arial"/>
        <b/>
        <color theme="1"/>
      </rPr>
      <t>Главная ЛК:</t>
    </r>
    <r>
      <rPr>
        <rFont val="Arial"/>
        <color theme="1"/>
      </rPr>
      <t xml:space="preserve">
— Приветствие
— Список активных договоров займа: № договора, срок, сумма долга, дата следующего платежа (красный цвет если просрочка), кнопка Оплатить
— Виджет "Ближайший платеж"</t>
    </r>
  </si>
  <si>
    <r>
      <rPr>
        <rFont val="Arial"/>
        <b/>
        <color theme="1"/>
      </rPr>
      <t>Детали договора:</t>
    </r>
    <r>
      <rPr>
        <rFont val="Arial"/>
        <color theme="1"/>
      </rPr>
      <t xml:space="preserve">
— Полная информация: дата, срок, предмет залога, сумма займа
— История начисленных процентов (таблица с датой, суммой)
— Кнопка "Оплатить проценты"</t>
    </r>
  </si>
  <si>
    <r>
      <rPr>
        <rFont val="Arial"/>
        <b/>
        <color theme="1"/>
      </rPr>
      <t>Оплата процентов:</t>
    </r>
    <r>
      <rPr>
        <rFont val="Arial"/>
        <color theme="1"/>
      </rPr>
      <t xml:space="preserve">
— Выбор договора (если несколько)
— Сумма к оплате (автоподстановка или ручной ввод)
— Выбор способа оплаты: СБП, Банковская карта
— Подтверждение SMS → Успешная оплата</t>
    </r>
  </si>
  <si>
    <r>
      <rPr>
        <rFont val="Arial"/>
        <b/>
        <color theme="1"/>
      </rPr>
      <t xml:space="preserve">История платежей 
</t>
    </r>
    <r>
      <rPr>
        <rFont val="Arial"/>
        <color theme="1"/>
      </rPr>
      <t>— Список (дата, договор, сумма, статус)</t>
    </r>
  </si>
  <si>
    <t>Онлайн-оценка изделий</t>
  </si>
  <si>
    <r>
      <rPr>
        <rFont val="Arial"/>
        <b/>
        <color theme="1"/>
      </rPr>
      <t xml:space="preserve">Форма заявки </t>
    </r>
    <r>
      <rPr>
        <rFont val="Arial"/>
        <color theme="1"/>
      </rPr>
      <t>(последовательные шаги):
1. Категория: Золото / Серебро / Платина / Часы 
2. Описание: Проба, вес, бренд, состояние (текстовые поля + подсказки)
3. Фото: Загрузка 3+ фото (чекбокс "Согласен с правилами оценки")
4. Контакты: Имя, телефон (автоподстановка для авторизованных)</t>
    </r>
  </si>
  <si>
    <r>
      <rPr>
        <rFont val="Arial"/>
        <b/>
        <color theme="1"/>
      </rPr>
      <t xml:space="preserve">Отправка заявки
</t>
    </r>
    <r>
      <rPr>
        <rFont val="Arial"/>
        <color theme="1"/>
      </rPr>
      <t>— Отображение статуса заявки:  "Принято", "В оценке", "Готово"</t>
    </r>
  </si>
  <si>
    <r>
      <rPr>
        <rFont val="Arial"/>
        <b/>
        <color theme="1"/>
      </rPr>
      <t xml:space="preserve">Результат оценки
</t>
    </r>
    <r>
      <rPr>
        <rFont val="Arial"/>
        <color theme="1"/>
      </rPr>
      <t>— Сумма предварительной оценки + комментарий эксперта (в ЛК / SMS)</t>
    </r>
  </si>
  <si>
    <t>Калькулятор оценки/займа</t>
  </si>
  <si>
    <r>
      <rPr>
        <rFont val="Arial"/>
        <b/>
        <color theme="1"/>
      </rPr>
      <t xml:space="preserve">Поля
</t>
    </r>
    <r>
      <rPr>
        <rFont val="Arial"/>
        <color theme="1"/>
      </rPr>
      <t>— Тип изделия (золото/серебро/...)
— Проба (выпадающий список)
— Вес (гр)
— Состояние (отличное/хорошее/удовл.)</t>
    </r>
  </si>
  <si>
    <r>
      <rPr>
        <rFont val="Arial"/>
        <b/>
        <color theme="1"/>
      </rPr>
      <t xml:space="preserve">Расчет
</t>
    </r>
    <r>
      <rPr>
        <rFont val="Arial"/>
        <color theme="1"/>
      </rPr>
      <t>— Автоматический показ ориентировочной суммы залога и % ставки</t>
    </r>
  </si>
  <si>
    <r>
      <rPr>
        <rFont val="Arial"/>
        <b/>
        <color theme="1"/>
      </rPr>
      <t>Кнопка действия</t>
    </r>
    <r>
      <rPr>
        <rFont val="Arial"/>
        <color theme="1"/>
      </rPr>
      <t xml:space="preserve"> 
— "Отправить на оценку" или "Рассчитать займ"</t>
    </r>
  </si>
  <si>
    <t xml:space="preserve">Раздел Адреса ломбардов </t>
  </si>
  <si>
    <t>— Список отделений с адресами, контактами и режимом работы.​
— Интерактивная карта с расположением филиалов</t>
  </si>
  <si>
    <t>Интеграция с сайтом ломбарда по API</t>
  </si>
  <si>
    <t>Подключение SMS-шлюза и отправка сообщений</t>
  </si>
  <si>
    <t>Подключение платёжной системы</t>
  </si>
  <si>
    <t>Годовая оплата аккаунта в App Store и Google Play
 — 99$ в год для Apple
 — 26$ в год для Google</t>
  </si>
  <si>
    <r>
      <rPr>
        <rFont val="Arial"/>
        <b/>
        <color theme="1"/>
      </rPr>
      <t>Публикация приложения в App Store и Google Play</t>
    </r>
    <r>
      <rPr>
        <rFont val="Arial"/>
        <color theme="1"/>
      </rPr>
      <t xml:space="preserve">
— Помощь в регистрации аккаунтов разработчика (владельца) мобильного приложения в сторах на физлицо или юрлицо
— Публикация приложения в сторах и заполнение анкет приложения
— Помощь в прохождении модерации приложения</t>
    </r>
  </si>
  <si>
    <t>Реализация функционал пуш-уведомлений, включая административную панель</t>
  </si>
  <si>
    <t>Первичное наполнение контентом (прописать количество экранов, которые будут наполнены контентом)</t>
  </si>
  <si>
    <t xml:space="preserve">Первичное наполнение контентом </t>
  </si>
  <si>
    <t>Итого мобильное приложение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</si>
</sst>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8.0"/>
      <color theme="1"/>
      <name val="Arial"/>
    </font>
    <font>
      <sz val="8.0"/>
      <color theme="1"/>
      <name val="Montserrat"/>
    </font>
    <font>
      <b/>
      <color theme="1"/>
      <name val="Arial"/>
    </font>
    <font/>
    <font>
      <b/>
      <color theme="1"/>
      <name val="Montserrat"/>
    </font>
    <font>
      <color theme="1"/>
      <name val="Arial"/>
    </font>
    <font>
      <color theme="1"/>
      <name val="Montserrat"/>
    </font>
    <font>
      <color theme="1"/>
      <name val="Calibri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8">
    <border/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</border>
    <border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1" fillId="0" fontId="4" numFmtId="0" xfId="0" applyBorder="1" applyFont="1"/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5" fillId="0" fontId="4" numFmtId="0" xfId="0" applyBorder="1" applyFont="1"/>
    <xf borderId="2" fillId="0" fontId="6" numFmtId="0" xfId="0" applyAlignment="1" applyBorder="1" applyFont="1">
      <alignment horizontal="center" shrinkToFit="0" vertical="bottom" wrapText="1"/>
    </xf>
    <xf borderId="2" fillId="2" fontId="3" numFmtId="0" xfId="0" applyAlignment="1" applyBorder="1" applyFill="1" applyFont="1">
      <alignment shrinkToFit="0" vertical="bottom" wrapText="1"/>
    </xf>
    <xf borderId="1" fillId="2" fontId="3" numFmtId="0" xfId="0" applyAlignment="1" applyBorder="1" applyFill="1" applyFont="1">
      <alignment shrinkToFit="0" vertical="bottom" wrapText="1"/>
    </xf>
    <xf borderId="2" fillId="2" fontId="6" numFmtId="0" xfId="0" applyAlignment="1" applyBorder="1" applyFill="1" applyFont="1">
      <alignment vertical="bottom"/>
    </xf>
    <xf borderId="0" fillId="2" fontId="7" numFmtId="0" xfId="0" applyAlignment="1" applyFill="1" applyFont="1">
      <alignment horizontal="center" shrinkToFit="0" vertical="bottom" wrapText="1"/>
    </xf>
    <xf borderId="0" fillId="2" fontId="6" numFmtId="3" xfId="0" applyAlignment="1" applyFill="1" applyFont="1" applyNumberFormat="1">
      <alignment vertical="bottom"/>
    </xf>
    <xf borderId="2" fillId="2" fontId="3" numFmtId="0" xfId="0" applyAlignment="1" applyBorder="1" applyFill="1" applyFont="1">
      <alignment horizontal="center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2" fillId="2" fontId="8" numFmtId="0" xfId="0" applyAlignment="1" applyBorder="1" applyFill="1" applyFont="1">
      <alignment vertical="bottom"/>
    </xf>
    <xf borderId="0" fillId="2" fontId="3" numFmtId="0" xfId="0" applyAlignment="1" applyFill="1" applyFont="1">
      <alignment shrinkToFit="0" vertical="bottom" wrapText="1"/>
    </xf>
    <xf borderId="2" fillId="0" fontId="7" numFmtId="0" xfId="0" applyAlignment="1" applyBorder="1" applyFont="1">
      <alignment horizontal="center" shrinkToFit="0" vertical="bottom" wrapText="1"/>
    </xf>
    <xf borderId="0" fillId="2" fontId="6" numFmtId="0" xfId="0" applyAlignment="1" applyFill="1" applyFont="1">
      <alignment vertical="bottom"/>
    </xf>
    <xf borderId="2" fillId="0" fontId="6" numFmtId="0" xfId="0" applyAlignment="1" applyBorder="1" applyFont="1">
      <alignment shrinkToFit="0" vertical="bottom" wrapText="1"/>
    </xf>
    <xf borderId="2" fillId="0" fontId="6" numFmtId="3" xfId="0" applyAlignment="1" applyBorder="1" applyFont="1" applyNumberFormat="1">
      <alignment horizontal="right" shrinkToFit="0" vertical="bottom" wrapText="1"/>
    </xf>
    <xf borderId="0" fillId="2" fontId="7" numFmtId="0" xfId="0" applyAlignment="1" applyFill="1" applyFont="1">
      <alignment vertical="bottom"/>
    </xf>
    <xf borderId="2" fillId="2" fontId="5" numFmtId="0" xfId="0" applyAlignment="1" applyBorder="1" applyFill="1" applyFont="1">
      <alignment shrinkToFit="0" vertical="bottom" wrapText="1"/>
    </xf>
    <xf borderId="3" fillId="0" fontId="6" numFmtId="3" xfId="0" applyAlignment="1" applyBorder="1" applyFont="1" applyNumberFormat="1">
      <alignment horizontal="right" shrinkToFit="0" vertical="bottom" wrapText="1"/>
    </xf>
    <xf borderId="2" fillId="2" fontId="7" numFmtId="0" xfId="0" applyAlignment="1" applyBorder="1" applyFill="1" applyFont="1">
      <alignment vertical="bottom"/>
    </xf>
    <xf borderId="2" fillId="0" fontId="6" numFmtId="0" xfId="0" applyAlignment="1" applyBorder="1" applyFont="1">
      <alignment vertical="bottom"/>
    </xf>
    <xf borderId="1" fillId="0" fontId="6" numFmtId="0" xfId="0" applyAlignment="1" applyBorder="1" applyFont="1">
      <alignment shrinkToFit="0" vertical="bottom" wrapText="1"/>
    </xf>
    <xf borderId="2" fillId="2" fontId="5" numFmtId="0" xfId="0" applyAlignment="1" applyBorder="1" applyFill="1" applyFont="1">
      <alignment horizontal="center" shrinkToFit="0" vertical="bottom" wrapText="1"/>
    </xf>
    <xf borderId="2" fillId="0" fontId="8" numFmtId="0" xfId="0" applyAlignment="1" applyBorder="1" applyFont="1">
      <alignment vertical="bottom"/>
    </xf>
    <xf borderId="2" fillId="0" fontId="7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vertical="bottom"/>
    </xf>
    <xf borderId="2" fillId="0" fontId="7" numFmtId="3" xfId="0" applyAlignment="1" applyBorder="1" applyFont="1" applyNumberFormat="1">
      <alignment horizontal="right" shrinkToFit="0" vertical="bottom" wrapText="1"/>
    </xf>
    <xf borderId="0" fillId="2" fontId="7" numFmtId="3" xfId="0" applyAlignment="1" applyFill="1" applyFont="1" applyNumberFormat="1">
      <alignment horizontal="center" vertical="bottom"/>
    </xf>
    <xf borderId="2" fillId="2" fontId="6" numFmtId="3" xfId="0" applyAlignment="1" applyBorder="1" applyFill="1" applyFont="1" applyNumberFormat="1">
      <alignment vertical="bottom"/>
    </xf>
    <xf borderId="6" fillId="0" fontId="4" numFmtId="0" xfId="0" applyBorder="1" applyFont="1"/>
    <xf borderId="0" fillId="0" fontId="6" numFmtId="0" xfId="0" applyFont="1"/>
    <xf borderId="1" fillId="2" fontId="3" numFmtId="0" xfId="0" applyAlignment="1" applyBorder="1" applyFill="1" applyFont="1">
      <alignment horizontal="center" shrinkToFit="0" vertical="bottom" wrapText="1"/>
    </xf>
    <xf borderId="2" fillId="3" fontId="6" numFmtId="0" xfId="0" applyAlignment="1" applyBorder="1" applyFill="1" applyFont="1">
      <alignment shrinkToFit="0" vertical="bottom" wrapText="1"/>
    </xf>
    <xf borderId="2" fillId="2" fontId="6" numFmtId="0" xfId="0" applyAlignment="1" applyBorder="1" applyFill="1" applyFont="1">
      <alignment shrinkToFit="0" vertical="bottom" wrapText="1"/>
    </xf>
    <xf borderId="2" fillId="3" fontId="6" numFmtId="3" xfId="0" applyAlignment="1" applyBorder="1" applyFill="1" applyFont="1" applyNumberFormat="1">
      <alignment horizontal="right" shrinkToFit="0" vertical="bottom" wrapText="1"/>
    </xf>
    <xf borderId="2" fillId="2" fontId="8" numFmtId="3" xfId="0" applyAlignment="1" applyBorder="1" applyFill="1" applyFont="1" applyNumberFormat="1">
      <alignment vertical="bottom"/>
    </xf>
    <xf borderId="2" fillId="3" fontId="6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shrinkToFit="0" vertical="bottom" wrapText="1"/>
    </xf>
    <xf borderId="2" fillId="2" fontId="7" numFmtId="3" xfId="0" applyAlignment="1" applyBorder="1" applyFill="1" applyFont="1" applyNumberFormat="1">
      <alignment vertical="bottom"/>
    </xf>
    <xf borderId="2" fillId="2" fontId="3" numFmtId="0" xfId="0" applyAlignment="1" applyBorder="1" applyFill="1" applyFont="1">
      <alignment horizontal="right" shrinkToFit="0" vertical="bottom" wrapText="1"/>
    </xf>
    <xf borderId="2" fillId="4" fontId="6" numFmtId="0" xfId="0" applyAlignment="1" applyBorder="1" applyFill="1" applyFont="1">
      <alignment vertical="bottom"/>
    </xf>
    <xf borderId="2" fillId="4" fontId="6" numFmtId="3" xfId="0" applyAlignment="1" applyBorder="1" applyFill="1" applyFont="1" applyNumberFormat="1">
      <alignment vertical="bottom"/>
    </xf>
    <xf borderId="2" fillId="3" fontId="7" numFmtId="0" xfId="0" applyAlignment="1" applyBorder="1" applyFill="1" applyFont="1">
      <alignment shrinkToFit="0" vertical="bottom" wrapText="1"/>
    </xf>
    <xf borderId="2" fillId="3" fontId="7" numFmtId="3" xfId="0" applyAlignment="1" applyBorder="1" applyFill="1" applyFont="1" applyNumberFormat="1">
      <alignment horizontal="right" shrinkToFit="0" vertical="bottom" wrapText="1"/>
    </xf>
    <xf borderId="2" fillId="2" fontId="3" numFmtId="3" xfId="0" applyAlignment="1" applyBorder="1" applyFill="1" applyFont="1" applyNumberFormat="1">
      <alignment horizontal="right" shrinkToFit="0" vertical="bottom" wrapText="1"/>
    </xf>
    <xf borderId="7" fillId="4" fontId="9" numFmtId="0" xfId="0" applyAlignment="1" applyBorder="1" applyFill="1" applyFont="1">
      <alignment shrinkToFit="0" vertical="bottom" wrapText="1"/>
    </xf>
    <xf borderId="2" fillId="2" fontId="6" numFmtId="3" xfId="0" applyAlignment="1" applyBorder="1" applyFill="1" applyFont="1" applyNumberFormat="1">
      <alignment horizontal="right" shrinkToFit="0" vertical="bottom" wrapText="1"/>
    </xf>
    <xf borderId="1" fillId="4" fontId="9" numFmtId="0" xfId="0" applyAlignment="1" applyBorder="1" applyFill="1" applyFont="1">
      <alignment shrinkToFit="0" vertical="bottom" wrapText="1"/>
    </xf>
    <xf borderId="2" fillId="3" fontId="7" numFmtId="0" xfId="0" applyAlignment="1" applyBorder="1" applyFill="1" applyFont="1">
      <alignment vertical="bottom"/>
    </xf>
    <xf borderId="7" fillId="0" fontId="6" numFmtId="0" xfId="0" applyAlignment="1" applyBorder="1" applyFont="1">
      <alignment shrinkToFit="0" vertical="bottom" wrapText="1"/>
    </xf>
    <xf borderId="2" fillId="2" fontId="5" numFmtId="0" xfId="0" applyAlignment="1" applyBorder="1" applyFill="1" applyFont="1">
      <alignment horizontal="right" shrinkToFit="0" vertical="bottom" wrapText="1"/>
    </xf>
    <xf borderId="2" fillId="2" fontId="6" numFmtId="3" xfId="0" applyAlignment="1" applyBorder="1" applyFill="1" applyFont="1" applyNumberFormat="1">
      <alignment horizontal="right" vertical="bottom"/>
    </xf>
    <xf borderId="2" fillId="2" fontId="5" numFmtId="3" xfId="0" applyAlignment="1" applyBorder="1" applyFill="1" applyFont="1" applyNumberFormat="1">
      <alignment horizontal="right" shrinkToFit="0" vertical="bottom" wrapText="1"/>
    </xf>
    <xf borderId="2" fillId="2" fontId="7" numFmtId="3" xfId="0" applyAlignment="1" applyBorder="1" applyFill="1" applyFont="1" applyNumberFormat="1">
      <alignment horizontal="right" shrinkToFit="0" vertical="bottom" wrapText="1"/>
    </xf>
    <xf borderId="7" fillId="4" fontId="6" numFmtId="0" xfId="0" applyAlignment="1" applyBorder="1" applyFill="1" applyFont="1">
      <alignment vertical="bottom"/>
    </xf>
    <xf borderId="2" fillId="2" fontId="7" numFmtId="3" xfId="0" applyAlignment="1" applyBorder="1" applyFill="1" applyFont="1" applyNumberFormat="1">
      <alignment horizontal="right" vertical="bottom"/>
    </xf>
    <xf borderId="1" fillId="4" fontId="6" numFmtId="0" xfId="0" applyAlignment="1" applyBorder="1" applyFill="1" applyFont="1">
      <alignment vertical="bottom"/>
    </xf>
    <xf borderId="3" fillId="0" fontId="6" numFmtId="0" xfId="0" applyAlignment="1" applyBorder="1" applyFont="1">
      <alignment shrinkToFit="0" vertical="bottom" wrapText="1"/>
    </xf>
    <xf borderId="2" fillId="4" fontId="9" numFmtId="0" xfId="0" applyAlignment="1" applyBorder="1" applyFill="1" applyFont="1">
      <alignment shrinkToFit="0" vertical="bottom" wrapText="1"/>
    </xf>
    <xf borderId="7" fillId="0" fontId="3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vertical="bottom"/>
    </xf>
    <xf borderId="7" fillId="5" fontId="9" numFmtId="0" xfId="0" applyAlignment="1" applyBorder="1" applyFill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3" fontId="6" numFmtId="0" xfId="0" applyAlignment="1" applyBorder="1" applyFill="1" applyFont="1">
      <alignment shrinkToFit="0" vertical="bottom" wrapText="1"/>
    </xf>
    <xf borderId="2" fillId="3" fontId="8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horizontal="right" shrinkToFit="0" wrapText="1"/>
    </xf>
    <xf borderId="1" fillId="2" fontId="3" numFmtId="0" xfId="0" applyAlignment="1" applyBorder="1" applyFill="1" applyFont="1">
      <alignment horizontal="right"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2" fillId="6" fontId="3" numFmtId="0" xfId="0" applyAlignment="1" applyBorder="1" applyFill="1" applyFont="1">
      <alignment horizontal="center" shrinkToFit="0" vertical="bottom" wrapText="1"/>
    </xf>
    <xf borderId="2" fillId="6" fontId="6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2" fillId="2" fontId="8" numFmtId="0" xfId="0" applyAlignment="1" applyBorder="1" applyFill="1" applyFont="1">
      <alignment vertical="center"/>
    </xf>
    <xf borderId="2" fillId="2" fontId="3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3" fillId="0" fontId="8" numFmtId="0" xfId="0" applyAlignment="1" applyBorder="1" applyFont="1">
      <alignment shrinkToFit="0" vertical="center" wrapText="1"/>
    </xf>
    <xf borderId="2" fillId="0" fontId="6" numFmtId="3" xfId="0" applyAlignment="1" applyBorder="1" applyFont="1" applyNumberFormat="1">
      <alignment horizontal="center" shrinkToFit="0" vertical="center" wrapText="1"/>
    </xf>
    <xf borderId="0" fillId="2" fontId="3" numFmtId="0" xfId="0" applyAlignment="1" applyFill="1" applyFont="1">
      <alignment shrinkToFit="0" vertical="center" wrapText="1"/>
    </xf>
    <xf borderId="0" fillId="2" fontId="8" numFmtId="0" xfId="0" applyAlignment="1" applyFill="1" applyFont="1">
      <alignment vertical="center"/>
    </xf>
    <xf borderId="0" fillId="2" fontId="8" numFmtId="3" xfId="0" applyAlignment="1" applyFill="1" applyFont="1" applyNumberFormat="1">
      <alignment horizontal="center" vertical="center"/>
    </xf>
    <xf borderId="2" fillId="0" fontId="6" numFmtId="0" xfId="0" applyAlignment="1" applyBorder="1" applyFont="1">
      <alignment shrinkToFit="0" vertical="center" wrapText="1"/>
    </xf>
    <xf borderId="2" fillId="4" fontId="3" numFmtId="0" xfId="0" applyAlignment="1" applyBorder="1" applyFill="1" applyFont="1">
      <alignment shrinkToFit="0" vertical="center" wrapText="1"/>
    </xf>
    <xf borderId="2" fillId="4" fontId="8" numFmtId="0" xfId="0" applyAlignment="1" applyBorder="1" applyFill="1" applyFont="1">
      <alignment vertical="center"/>
    </xf>
    <xf borderId="2" fillId="4" fontId="8" numFmtId="3" xfId="0" applyAlignment="1" applyBorder="1" applyFill="1" applyFont="1" applyNumberFormat="1">
      <alignment horizontal="center" vertical="center"/>
    </xf>
    <xf borderId="2" fillId="0" fontId="8" numFmtId="0" xfId="0" applyAlignment="1" applyBorder="1" applyFont="1">
      <alignment vertical="center"/>
    </xf>
    <xf borderId="2" fillId="4" fontId="9" numFmtId="0" xfId="0" applyAlignment="1" applyBorder="1" applyFill="1" applyFont="1">
      <alignment shrinkToFit="0" vertical="center" wrapText="1"/>
    </xf>
    <xf borderId="2" fillId="4" fontId="9" numFmtId="0" xfId="0" applyAlignment="1" applyBorder="1" applyFill="1" applyFont="1">
      <alignment horizontal="center" shrinkToFit="0" vertical="center" wrapText="1"/>
    </xf>
    <xf borderId="2" fillId="6" fontId="9" numFmtId="0" xfId="0" applyAlignment="1" applyBorder="1" applyFill="1" applyFont="1">
      <alignment shrinkToFit="0" vertical="center" wrapText="1"/>
    </xf>
    <xf borderId="2" fillId="3" fontId="6" numFmtId="0" xfId="0" applyAlignment="1" applyBorder="1" applyFill="1" applyFont="1">
      <alignment shrinkToFit="0" vertical="center" wrapText="1"/>
    </xf>
    <xf borderId="2" fillId="3" fontId="8" numFmtId="0" xfId="0" applyAlignment="1" applyBorder="1" applyFill="1" applyFont="1">
      <alignment vertical="center"/>
    </xf>
    <xf borderId="1" fillId="2" fontId="3" numFmtId="0" xfId="0" applyAlignment="1" applyBorder="1" applyFill="1" applyFont="1">
      <alignment horizontal="right" shrinkToFit="0" vertical="center" wrapText="1"/>
    </xf>
    <xf borderId="2" fillId="2" fontId="8" numFmtId="0" xfId="0" applyAlignment="1" applyBorder="1" applyFill="1" applyFont="1">
      <alignment horizontal="center" vertical="center"/>
    </xf>
    <xf borderId="3" fillId="2" fontId="3" numFmtId="3" xfId="0" applyAlignment="1" applyBorder="1" applyFill="1" applyFont="1" applyNumberFormat="1">
      <alignment horizontal="center" shrinkToFit="0" vertical="center" wrapText="1"/>
    </xf>
    <xf borderId="3" fillId="2" fontId="6" numFmtId="3" xfId="0" applyAlignment="1" applyBorder="1" applyFill="1" applyFont="1" applyNumberFormat="1">
      <alignment horizontal="center" shrinkToFit="0" vertical="center" wrapText="1"/>
    </xf>
    <xf borderId="4" fillId="2" fontId="3" numFmtId="3" xfId="0" applyAlignment="1" applyBorder="1" applyFill="1" applyFont="1" applyNumberFormat="1">
      <alignment horizontal="center" shrinkToFit="0" vertical="center" wrapText="1"/>
    </xf>
    <xf borderId="0" fillId="0" fontId="8" numFmtId="3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Row="1"/>
  <cols>
    <col customWidth="1" min="1" max="1" width="53.5"/>
    <col customWidth="1" min="2" max="2" width="20.38"/>
    <col customWidth="1" min="3" max="6" width="12.63"/>
  </cols>
  <sheetData>
    <row r="1">
      <c r="A1" s="1"/>
      <c r="B1" s="4" t="s">
        <v>0</v>
      </c>
      <c r="C1" s="5" t="s">
        <v>1</v>
      </c>
      <c r="D1" s="6"/>
      <c r="E1" s="5" t="s">
        <v>2</v>
      </c>
      <c r="F1" s="6"/>
      <c r="G1" s="5" t="s">
        <v>5</v>
      </c>
      <c r="H1" s="6"/>
      <c r="I1" s="5" t="s">
        <v>6</v>
      </c>
      <c r="J1" s="6"/>
    </row>
    <row r="2">
      <c r="A2" s="10" t="s">
        <v>7</v>
      </c>
      <c r="B2" s="11"/>
      <c r="C2" s="12" t="s">
        <v>8</v>
      </c>
      <c r="D2" s="12" t="s">
        <v>9</v>
      </c>
      <c r="E2" s="12" t="s">
        <v>8</v>
      </c>
      <c r="F2" s="12" t="s">
        <v>9</v>
      </c>
      <c r="G2" s="12" t="s">
        <v>8</v>
      </c>
      <c r="H2" s="12" t="s">
        <v>9</v>
      </c>
      <c r="I2" s="12" t="s">
        <v>8</v>
      </c>
      <c r="J2" s="12" t="s">
        <v>9</v>
      </c>
    </row>
    <row r="3">
      <c r="A3" s="14" t="s">
        <v>11</v>
      </c>
      <c r="B3" s="20"/>
      <c r="C3" s="20"/>
      <c r="D3" s="18">
        <v>0.0</v>
      </c>
      <c r="E3" s="20"/>
      <c r="F3" s="18">
        <v>0.0</v>
      </c>
      <c r="G3" s="20"/>
      <c r="H3" s="18">
        <v>0.0</v>
      </c>
      <c r="I3" s="20"/>
      <c r="J3" s="18">
        <v>0.0</v>
      </c>
    </row>
    <row r="4">
      <c r="A4" s="31" t="s">
        <v>17</v>
      </c>
      <c r="B4" s="33"/>
      <c r="C4" s="25">
        <v>0.0</v>
      </c>
      <c r="D4" s="25">
        <f t="shared" ref="D4:D5" si="1">C4*$D$3</f>
        <v>0</v>
      </c>
      <c r="E4" s="25">
        <v>0.0</v>
      </c>
      <c r="F4" s="25">
        <f t="shared" ref="F4:F5" si="2">E4*$F$3</f>
        <v>0</v>
      </c>
      <c r="G4" s="25">
        <v>0.0</v>
      </c>
      <c r="H4" s="25">
        <f t="shared" ref="H4:H5" si="3">G4*$H$3</f>
        <v>0</v>
      </c>
      <c r="I4" s="25">
        <v>0.0</v>
      </c>
      <c r="J4" s="25">
        <f t="shared" ref="J4:J5" si="4">I4*$J$3</f>
        <v>0</v>
      </c>
    </row>
    <row r="5">
      <c r="A5" s="31" t="s">
        <v>22</v>
      </c>
      <c r="B5" s="33"/>
      <c r="C5" s="25">
        <v>0.0</v>
      </c>
      <c r="D5" s="25">
        <f t="shared" si="1"/>
        <v>0</v>
      </c>
      <c r="E5" s="25">
        <v>0.0</v>
      </c>
      <c r="F5" s="25">
        <f t="shared" si="2"/>
        <v>0</v>
      </c>
      <c r="G5" s="25">
        <v>0.0</v>
      </c>
      <c r="H5" s="25">
        <f t="shared" si="3"/>
        <v>0</v>
      </c>
      <c r="I5" s="25">
        <v>0.0</v>
      </c>
      <c r="J5" s="25">
        <f t="shared" si="4"/>
        <v>0</v>
      </c>
    </row>
    <row r="6">
      <c r="A6" s="41" t="s">
        <v>10</v>
      </c>
      <c r="B6" s="43"/>
      <c r="C6" s="45"/>
      <c r="D6" s="45"/>
      <c r="E6" s="45"/>
      <c r="F6" s="45"/>
      <c r="G6" s="45"/>
      <c r="H6" s="45"/>
      <c r="I6" s="45"/>
      <c r="J6" s="45"/>
    </row>
    <row r="7">
      <c r="A7" s="31" t="s">
        <v>57</v>
      </c>
      <c r="B7" s="24"/>
      <c r="C7" s="25">
        <v>0.0</v>
      </c>
      <c r="D7" s="25">
        <f>C7*$D$3</f>
        <v>0</v>
      </c>
      <c r="E7" s="25">
        <v>0.0</v>
      </c>
      <c r="F7" s="25">
        <f>E7*$F$3</f>
        <v>0</v>
      </c>
      <c r="G7" s="24">
        <v>0.0</v>
      </c>
      <c r="H7" s="25">
        <f>G7*$H$3</f>
        <v>0</v>
      </c>
      <c r="I7" s="24">
        <v>0.0</v>
      </c>
      <c r="J7" s="25">
        <f>I7*$J$3</f>
        <v>0</v>
      </c>
    </row>
    <row r="8">
      <c r="A8" s="55" t="s">
        <v>62</v>
      </c>
      <c r="B8" s="55"/>
      <c r="C8" s="55"/>
      <c r="D8" s="55"/>
      <c r="E8" s="55"/>
      <c r="F8" s="55"/>
      <c r="G8" s="55"/>
      <c r="H8" s="55"/>
      <c r="I8" s="55"/>
      <c r="J8" s="57"/>
    </row>
    <row r="9" outlineLevel="1">
      <c r="A9" s="59" t="s">
        <v>64</v>
      </c>
      <c r="B9" s="24"/>
      <c r="C9" s="24">
        <v>0.0</v>
      </c>
      <c r="D9" s="25">
        <f t="shared" ref="D9:D11" si="5">C9*$D$3</f>
        <v>0</v>
      </c>
      <c r="E9" s="24">
        <v>0.0</v>
      </c>
      <c r="F9" s="25">
        <f t="shared" ref="F9:F11" si="6">E9*$D$3</f>
        <v>0</v>
      </c>
      <c r="G9" s="24">
        <v>0.0</v>
      </c>
      <c r="H9" s="25">
        <f t="shared" ref="H9:H11" si="7">G9*$D$3</f>
        <v>0</v>
      </c>
      <c r="I9" s="24">
        <v>0.0</v>
      </c>
      <c r="J9" s="25">
        <f t="shared" ref="J9:J11" si="8">I9*$D$3</f>
        <v>0</v>
      </c>
    </row>
    <row r="10" outlineLevel="1">
      <c r="A10" s="59" t="s">
        <v>68</v>
      </c>
      <c r="B10" s="24"/>
      <c r="C10" s="24">
        <v>0.0</v>
      </c>
      <c r="D10" s="25">
        <f t="shared" si="5"/>
        <v>0</v>
      </c>
      <c r="E10" s="24">
        <v>0.0</v>
      </c>
      <c r="F10" s="25">
        <f t="shared" si="6"/>
        <v>0</v>
      </c>
      <c r="G10" s="24">
        <v>0.0</v>
      </c>
      <c r="H10" s="25">
        <f t="shared" si="7"/>
        <v>0</v>
      </c>
      <c r="I10" s="24">
        <v>0.0</v>
      </c>
      <c r="J10" s="25">
        <f t="shared" si="8"/>
        <v>0</v>
      </c>
    </row>
    <row r="11" outlineLevel="1">
      <c r="A11" s="59" t="s">
        <v>71</v>
      </c>
      <c r="B11" s="24"/>
      <c r="C11" s="24">
        <v>0.0</v>
      </c>
      <c r="D11" s="25">
        <f t="shared" si="5"/>
        <v>0</v>
      </c>
      <c r="E11" s="24">
        <v>0.0</v>
      </c>
      <c r="F11" s="25">
        <f t="shared" si="6"/>
        <v>0</v>
      </c>
      <c r="G11" s="24">
        <v>0.0</v>
      </c>
      <c r="H11" s="25">
        <f t="shared" si="7"/>
        <v>0</v>
      </c>
      <c r="I11" s="24">
        <v>0.0</v>
      </c>
      <c r="J11" s="25">
        <f t="shared" si="8"/>
        <v>0</v>
      </c>
    </row>
    <row r="12">
      <c r="A12" s="55" t="s">
        <v>73</v>
      </c>
      <c r="B12" s="64"/>
      <c r="C12" s="64"/>
      <c r="D12" s="64"/>
      <c r="E12" s="64"/>
      <c r="F12" s="64"/>
      <c r="G12" s="64"/>
      <c r="H12" s="64"/>
      <c r="I12" s="64"/>
      <c r="J12" s="66"/>
    </row>
    <row r="13" outlineLevel="1">
      <c r="A13" s="59" t="s">
        <v>75</v>
      </c>
      <c r="B13" s="24"/>
      <c r="C13" s="67">
        <v>0.0</v>
      </c>
      <c r="D13" s="28">
        <f>C13*$D$3</f>
        <v>0</v>
      </c>
      <c r="E13" s="67">
        <v>0.0</v>
      </c>
      <c r="F13" s="28">
        <f>E13*$D$3</f>
        <v>0</v>
      </c>
      <c r="G13" s="67">
        <v>0.0</v>
      </c>
      <c r="H13" s="28">
        <f>G13*$D$3</f>
        <v>0</v>
      </c>
      <c r="I13" s="67">
        <v>0.0</v>
      </c>
      <c r="J13" s="28">
        <f>I13*$D$3</f>
        <v>0</v>
      </c>
    </row>
    <row r="14" outlineLevel="1">
      <c r="A14" s="59" t="s">
        <v>82</v>
      </c>
      <c r="B14" s="24"/>
      <c r="C14" s="39"/>
      <c r="D14" s="39"/>
      <c r="E14" s="39"/>
      <c r="F14" s="39"/>
      <c r="G14" s="39"/>
      <c r="H14" s="39"/>
      <c r="I14" s="39"/>
      <c r="J14" s="39"/>
    </row>
    <row r="15" outlineLevel="1">
      <c r="A15" s="59" t="s">
        <v>84</v>
      </c>
      <c r="B15" s="24"/>
      <c r="C15" s="39"/>
      <c r="D15" s="39"/>
      <c r="E15" s="39"/>
      <c r="F15" s="39"/>
      <c r="G15" s="39"/>
      <c r="H15" s="39"/>
      <c r="I15" s="39"/>
      <c r="J15" s="39"/>
    </row>
    <row r="16" outlineLevel="1">
      <c r="A16" s="69" t="s">
        <v>85</v>
      </c>
      <c r="B16" s="24"/>
      <c r="C16" s="39"/>
      <c r="D16" s="39"/>
      <c r="E16" s="39"/>
      <c r="F16" s="39"/>
      <c r="G16" s="39"/>
      <c r="H16" s="39"/>
      <c r="I16" s="39"/>
      <c r="J16" s="39"/>
    </row>
    <row r="17" outlineLevel="1">
      <c r="A17" s="69" t="s">
        <v>87</v>
      </c>
      <c r="B17" s="24"/>
      <c r="C17" s="39"/>
      <c r="D17" s="39"/>
      <c r="E17" s="39"/>
      <c r="F17" s="39"/>
      <c r="G17" s="39"/>
      <c r="H17" s="39"/>
      <c r="I17" s="39"/>
      <c r="J17" s="39"/>
    </row>
    <row r="18" outlineLevel="1">
      <c r="A18" s="69" t="s">
        <v>89</v>
      </c>
      <c r="B18" s="24"/>
      <c r="C18" s="39"/>
      <c r="D18" s="39"/>
      <c r="E18" s="39"/>
      <c r="F18" s="39"/>
      <c r="G18" s="39"/>
      <c r="H18" s="39"/>
      <c r="I18" s="39"/>
      <c r="J18" s="39"/>
    </row>
    <row r="19" outlineLevel="1">
      <c r="A19" s="69" t="s">
        <v>90</v>
      </c>
      <c r="B19" s="24"/>
      <c r="C19" s="11"/>
      <c r="D19" s="11"/>
      <c r="E19" s="11"/>
      <c r="F19" s="11"/>
      <c r="G19" s="11"/>
      <c r="H19" s="11"/>
      <c r="I19" s="11"/>
      <c r="J19" s="11"/>
    </row>
    <row r="20">
      <c r="A20" s="55" t="s">
        <v>92</v>
      </c>
      <c r="B20" s="55"/>
      <c r="C20" s="55"/>
      <c r="D20" s="55"/>
      <c r="E20" s="55"/>
      <c r="F20" s="55"/>
      <c r="G20" s="55"/>
      <c r="H20" s="55"/>
      <c r="I20" s="55"/>
      <c r="J20" s="55"/>
    </row>
    <row r="21" outlineLevel="1">
      <c r="A21" s="31" t="s">
        <v>94</v>
      </c>
      <c r="B21" s="70"/>
      <c r="C21" s="67">
        <v>0.0</v>
      </c>
      <c r="D21" s="28">
        <f>C21*$D$3</f>
        <v>0</v>
      </c>
      <c r="E21" s="67">
        <v>0.0</v>
      </c>
      <c r="F21" s="28">
        <f>E21*$D$3</f>
        <v>0</v>
      </c>
      <c r="G21" s="67">
        <v>0.0</v>
      </c>
      <c r="H21" s="28">
        <f>G21*$D$3</f>
        <v>0</v>
      </c>
      <c r="I21" s="67">
        <v>0.0</v>
      </c>
      <c r="J21" s="28">
        <f>I21*$D$3</f>
        <v>0</v>
      </c>
    </row>
    <row r="22" outlineLevel="1">
      <c r="A22" s="31" t="s">
        <v>100</v>
      </c>
      <c r="B22" s="70"/>
      <c r="C22" s="39"/>
      <c r="D22" s="39"/>
      <c r="E22" s="39"/>
      <c r="F22" s="39"/>
      <c r="G22" s="39"/>
      <c r="H22" s="39"/>
      <c r="I22" s="39"/>
      <c r="J22" s="39"/>
    </row>
    <row r="23" outlineLevel="1">
      <c r="A23" s="31" t="s">
        <v>102</v>
      </c>
      <c r="B23" s="70"/>
      <c r="C23" s="39"/>
      <c r="D23" s="39"/>
      <c r="E23" s="39"/>
      <c r="F23" s="39"/>
      <c r="G23" s="39"/>
      <c r="H23" s="39"/>
      <c r="I23" s="39"/>
      <c r="J23" s="39"/>
    </row>
    <row r="24" outlineLevel="1">
      <c r="A24" s="31" t="s">
        <v>103</v>
      </c>
      <c r="B24" s="70"/>
      <c r="C24" s="39"/>
      <c r="D24" s="39"/>
      <c r="E24" s="39"/>
      <c r="F24" s="39"/>
      <c r="G24" s="39"/>
      <c r="H24" s="39"/>
      <c r="I24" s="39"/>
      <c r="J24" s="39"/>
    </row>
    <row r="25" outlineLevel="1">
      <c r="A25" s="31" t="s">
        <v>105</v>
      </c>
      <c r="B25" s="70"/>
      <c r="C25" s="39"/>
      <c r="D25" s="39"/>
      <c r="E25" s="39"/>
      <c r="F25" s="39"/>
      <c r="G25" s="39"/>
      <c r="H25" s="39"/>
      <c r="I25" s="39"/>
      <c r="J25" s="39"/>
    </row>
    <row r="26" outlineLevel="1">
      <c r="A26" s="31" t="s">
        <v>107</v>
      </c>
      <c r="B26" s="70"/>
      <c r="C26" s="11"/>
      <c r="D26" s="11"/>
      <c r="E26" s="11"/>
      <c r="F26" s="11"/>
      <c r="G26" s="11"/>
      <c r="H26" s="11"/>
      <c r="I26" s="11"/>
      <c r="J26" s="11"/>
    </row>
    <row r="27">
      <c r="A27" s="55" t="s">
        <v>109</v>
      </c>
      <c r="B27" s="55"/>
      <c r="C27" s="55"/>
      <c r="D27" s="55"/>
      <c r="E27" s="55"/>
      <c r="F27" s="55"/>
      <c r="G27" s="55"/>
      <c r="H27" s="55"/>
      <c r="I27" s="55"/>
      <c r="J27" s="55"/>
    </row>
    <row r="28" outlineLevel="1">
      <c r="A28" s="31" t="s">
        <v>111</v>
      </c>
      <c r="B28" s="33"/>
      <c r="C28" s="24">
        <v>0.0</v>
      </c>
      <c r="D28" s="24">
        <v>0.0</v>
      </c>
      <c r="E28" s="24">
        <v>0.0</v>
      </c>
      <c r="F28" s="24">
        <v>0.0</v>
      </c>
      <c r="G28" s="24">
        <v>0.0</v>
      </c>
      <c r="H28" s="24">
        <v>0.0</v>
      </c>
      <c r="I28" s="24">
        <v>0.0</v>
      </c>
      <c r="J28" s="24">
        <v>0.0</v>
      </c>
    </row>
    <row r="29" outlineLevel="1">
      <c r="A29" s="31" t="s">
        <v>113</v>
      </c>
      <c r="B29" s="33"/>
      <c r="C29" s="24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v>0.0</v>
      </c>
      <c r="I29" s="24">
        <v>0.0</v>
      </c>
      <c r="J29" s="24">
        <v>0.0</v>
      </c>
    </row>
    <row r="30" outlineLevel="1">
      <c r="A30" s="31" t="s">
        <v>114</v>
      </c>
      <c r="B30" s="70"/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0.0</v>
      </c>
      <c r="I30" s="24">
        <v>0.0</v>
      </c>
      <c r="J30" s="24">
        <v>0.0</v>
      </c>
    </row>
    <row r="31" outlineLevel="1">
      <c r="A31" s="31" t="s">
        <v>116</v>
      </c>
      <c r="B31" s="70"/>
      <c r="C31" s="24">
        <v>0.0</v>
      </c>
      <c r="D31" s="24">
        <v>0.0</v>
      </c>
      <c r="E31" s="24">
        <v>0.0</v>
      </c>
      <c r="F31" s="24">
        <v>0.0</v>
      </c>
      <c r="G31" s="24">
        <v>0.0</v>
      </c>
      <c r="H31" s="24">
        <v>0.0</v>
      </c>
      <c r="I31" s="24">
        <v>0.0</v>
      </c>
      <c r="J31" s="24">
        <v>0.0</v>
      </c>
    </row>
    <row r="32" outlineLevel="1">
      <c r="A32" s="31" t="s">
        <v>118</v>
      </c>
      <c r="B32" s="70"/>
      <c r="C32" s="24">
        <v>0.0</v>
      </c>
      <c r="D32" s="24">
        <v>0.0</v>
      </c>
      <c r="E32" s="24">
        <v>0.0</v>
      </c>
      <c r="F32" s="24">
        <v>0.0</v>
      </c>
      <c r="G32" s="24">
        <v>0.0</v>
      </c>
      <c r="H32" s="24">
        <v>0.0</v>
      </c>
      <c r="I32" s="24">
        <v>0.0</v>
      </c>
      <c r="J32" s="24">
        <v>0.0</v>
      </c>
    </row>
    <row r="33" outlineLevel="1">
      <c r="A33" s="31" t="s">
        <v>120</v>
      </c>
      <c r="B33" s="70"/>
      <c r="C33" s="24">
        <v>0.0</v>
      </c>
      <c r="D33" s="24">
        <v>0.0</v>
      </c>
      <c r="E33" s="24">
        <v>0.0</v>
      </c>
      <c r="F33" s="24">
        <v>0.0</v>
      </c>
      <c r="G33" s="24">
        <v>0.0</v>
      </c>
      <c r="H33" s="24">
        <v>0.0</v>
      </c>
      <c r="I33" s="24">
        <v>0.0</v>
      </c>
      <c r="J33" s="24">
        <v>0.0</v>
      </c>
    </row>
    <row r="34" outlineLevel="1">
      <c r="A34" s="31" t="s">
        <v>121</v>
      </c>
      <c r="B34" s="70"/>
      <c r="C34" s="24">
        <v>0.0</v>
      </c>
      <c r="D34" s="24">
        <v>0.0</v>
      </c>
      <c r="E34" s="24">
        <v>0.0</v>
      </c>
      <c r="F34" s="24">
        <v>0.0</v>
      </c>
      <c r="G34" s="24">
        <v>0.0</v>
      </c>
      <c r="H34" s="24">
        <v>0.0</v>
      </c>
      <c r="I34" s="24">
        <v>0.0</v>
      </c>
      <c r="J34" s="24">
        <v>0.0</v>
      </c>
    </row>
    <row r="35" outlineLevel="1">
      <c r="A35" s="31" t="s">
        <v>123</v>
      </c>
      <c r="B35" s="70"/>
      <c r="C35" s="24">
        <v>0.0</v>
      </c>
      <c r="D35" s="24">
        <v>0.0</v>
      </c>
      <c r="E35" s="24">
        <v>0.0</v>
      </c>
      <c r="F35" s="24">
        <v>0.0</v>
      </c>
      <c r="G35" s="24">
        <v>0.0</v>
      </c>
      <c r="H35" s="24">
        <v>0.0</v>
      </c>
      <c r="I35" s="24">
        <v>0.0</v>
      </c>
      <c r="J35" s="24">
        <v>0.0</v>
      </c>
    </row>
    <row r="36">
      <c r="A36" s="55" t="s">
        <v>125</v>
      </c>
      <c r="B36" s="55"/>
      <c r="C36" s="55"/>
      <c r="D36" s="55"/>
      <c r="E36" s="55"/>
      <c r="F36" s="55"/>
      <c r="G36" s="55"/>
      <c r="H36" s="55"/>
      <c r="I36" s="55"/>
      <c r="J36" s="55"/>
    </row>
    <row r="37" outlineLevel="1">
      <c r="A37" s="31" t="s">
        <v>126</v>
      </c>
      <c r="B37" s="33"/>
      <c r="C37" s="24">
        <v>0.0</v>
      </c>
      <c r="D37" s="24">
        <v>0.0</v>
      </c>
      <c r="E37" s="24">
        <v>0.0</v>
      </c>
      <c r="F37" s="24">
        <v>0.0</v>
      </c>
      <c r="G37" s="24">
        <v>0.0</v>
      </c>
      <c r="H37" s="24">
        <v>0.0</v>
      </c>
      <c r="I37" s="24">
        <v>0.0</v>
      </c>
      <c r="J37" s="24">
        <v>0.0</v>
      </c>
    </row>
    <row r="38" outlineLevel="1">
      <c r="A38" s="59" t="s">
        <v>128</v>
      </c>
      <c r="B38" s="33"/>
      <c r="C38" s="24">
        <v>0.0</v>
      </c>
      <c r="D38" s="24">
        <v>0.0</v>
      </c>
      <c r="E38" s="24">
        <v>0.0</v>
      </c>
      <c r="F38" s="24">
        <v>0.0</v>
      </c>
      <c r="G38" s="24">
        <v>0.0</v>
      </c>
      <c r="H38" s="24">
        <v>0.0</v>
      </c>
      <c r="I38" s="24">
        <v>0.0</v>
      </c>
      <c r="J38" s="24">
        <v>0.0</v>
      </c>
    </row>
    <row r="39" outlineLevel="1">
      <c r="A39" s="59" t="s">
        <v>129</v>
      </c>
      <c r="B39" s="33"/>
      <c r="C39" s="24">
        <v>0.0</v>
      </c>
      <c r="D39" s="24">
        <v>0.0</v>
      </c>
      <c r="E39" s="24">
        <v>0.0</v>
      </c>
      <c r="F39" s="24">
        <v>0.0</v>
      </c>
      <c r="G39" s="24">
        <v>0.0</v>
      </c>
      <c r="H39" s="24">
        <v>0.0</v>
      </c>
      <c r="I39" s="24">
        <v>0.0</v>
      </c>
      <c r="J39" s="24">
        <v>0.0</v>
      </c>
    </row>
    <row r="40" outlineLevel="1">
      <c r="A40" s="59" t="s">
        <v>131</v>
      </c>
      <c r="B40" s="33"/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0.0</v>
      </c>
      <c r="I40" s="24">
        <v>0.0</v>
      </c>
      <c r="J40" s="24">
        <v>0.0</v>
      </c>
    </row>
    <row r="41">
      <c r="A41" s="71" t="s">
        <v>133</v>
      </c>
      <c r="B41" s="71"/>
      <c r="C41" s="71"/>
      <c r="D41" s="71"/>
      <c r="E41" s="71"/>
      <c r="F41" s="71"/>
      <c r="G41" s="71"/>
      <c r="H41" s="71"/>
      <c r="I41" s="71"/>
      <c r="J41" s="71"/>
    </row>
    <row r="42" outlineLevel="1">
      <c r="A42" s="31" t="s">
        <v>136</v>
      </c>
      <c r="B42" s="33"/>
      <c r="C42" s="24">
        <v>0.0</v>
      </c>
      <c r="D42" s="24">
        <v>0.0</v>
      </c>
      <c r="E42" s="24">
        <v>0.0</v>
      </c>
      <c r="F42" s="24">
        <v>0.0</v>
      </c>
      <c r="G42" s="24">
        <v>0.0</v>
      </c>
      <c r="H42" s="24">
        <v>0.0</v>
      </c>
      <c r="I42" s="24">
        <v>0.0</v>
      </c>
      <c r="J42" s="24">
        <v>0.0</v>
      </c>
    </row>
    <row r="43" outlineLevel="1">
      <c r="A43" s="31" t="s">
        <v>137</v>
      </c>
      <c r="B43" s="33"/>
      <c r="C43" s="24">
        <v>0.0</v>
      </c>
      <c r="D43" s="24">
        <v>0.0</v>
      </c>
      <c r="E43" s="24">
        <v>0.0</v>
      </c>
      <c r="F43" s="24">
        <v>0.0</v>
      </c>
      <c r="G43" s="24">
        <v>0.0</v>
      </c>
      <c r="H43" s="24">
        <v>0.0</v>
      </c>
      <c r="I43" s="24">
        <v>0.0</v>
      </c>
      <c r="J43" s="24">
        <v>0.0</v>
      </c>
    </row>
    <row r="44">
      <c r="A44" s="72" t="s">
        <v>138</v>
      </c>
      <c r="B44" s="33"/>
      <c r="C44" s="24">
        <v>0.0</v>
      </c>
      <c r="D44" s="24">
        <v>0.0</v>
      </c>
      <c r="E44" s="24">
        <v>0.0</v>
      </c>
      <c r="F44" s="24">
        <v>0.0</v>
      </c>
      <c r="G44" s="24">
        <v>0.0</v>
      </c>
      <c r="H44" s="24">
        <v>0.0</v>
      </c>
      <c r="I44" s="24">
        <v>0.0</v>
      </c>
      <c r="J44" s="24">
        <v>0.0</v>
      </c>
    </row>
    <row r="45">
      <c r="A45" s="72" t="s">
        <v>139</v>
      </c>
      <c r="B45" s="33"/>
      <c r="C45" s="24">
        <v>0.0</v>
      </c>
      <c r="D45" s="24">
        <v>0.0</v>
      </c>
      <c r="E45" s="24">
        <v>0.0</v>
      </c>
      <c r="F45" s="24">
        <v>0.0</v>
      </c>
      <c r="G45" s="24">
        <v>0.0</v>
      </c>
      <c r="H45" s="24">
        <v>0.0</v>
      </c>
      <c r="I45" s="24">
        <v>0.0</v>
      </c>
      <c r="J45" s="24">
        <v>0.0</v>
      </c>
    </row>
    <row r="46">
      <c r="A46" s="31" t="s">
        <v>141</v>
      </c>
      <c r="B46" s="33"/>
      <c r="C46" s="24">
        <v>0.0</v>
      </c>
      <c r="D46" s="24">
        <v>0.0</v>
      </c>
      <c r="E46" s="24">
        <v>0.0</v>
      </c>
      <c r="F46" s="24">
        <v>0.0</v>
      </c>
      <c r="G46" s="24">
        <v>0.0</v>
      </c>
      <c r="H46" s="24">
        <v>0.0</v>
      </c>
      <c r="I46" s="24">
        <v>0.0</v>
      </c>
      <c r="J46" s="24">
        <v>0.0</v>
      </c>
    </row>
    <row r="47">
      <c r="A47" s="31" t="s">
        <v>143</v>
      </c>
      <c r="B47" s="33"/>
      <c r="C47" s="24">
        <v>0.0</v>
      </c>
      <c r="D47" s="24">
        <v>0.0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</row>
    <row r="48">
      <c r="A48" s="71" t="s">
        <v>144</v>
      </c>
      <c r="B48" s="71"/>
      <c r="C48" s="71"/>
      <c r="D48" s="71"/>
      <c r="E48" s="71"/>
      <c r="F48" s="71"/>
      <c r="G48" s="71"/>
      <c r="H48" s="71"/>
      <c r="I48" s="71"/>
      <c r="J48" s="71"/>
    </row>
    <row r="49" outlineLevel="1">
      <c r="A49" s="31" t="s">
        <v>146</v>
      </c>
      <c r="B49" s="33"/>
      <c r="C49" s="24">
        <v>0.0</v>
      </c>
      <c r="D49" s="24">
        <v>0.0</v>
      </c>
      <c r="E49" s="24">
        <v>0.0</v>
      </c>
      <c r="F49" s="24">
        <v>0.0</v>
      </c>
      <c r="G49" s="24">
        <v>0.0</v>
      </c>
      <c r="H49" s="24">
        <v>0.0</v>
      </c>
      <c r="I49" s="24">
        <v>0.0</v>
      </c>
      <c r="J49" s="24">
        <v>0.0</v>
      </c>
    </row>
    <row r="50" outlineLevel="1">
      <c r="A50" s="31" t="s">
        <v>148</v>
      </c>
      <c r="B50" s="33"/>
      <c r="C50" s="24">
        <v>0.0</v>
      </c>
      <c r="D50" s="24">
        <v>0.0</v>
      </c>
      <c r="E50" s="24">
        <v>0.0</v>
      </c>
      <c r="F50" s="24">
        <v>0.0</v>
      </c>
      <c r="G50" s="24">
        <v>0.0</v>
      </c>
      <c r="H50" s="24">
        <v>0.0</v>
      </c>
      <c r="I50" s="24">
        <v>0.0</v>
      </c>
      <c r="J50" s="24">
        <v>0.0</v>
      </c>
    </row>
    <row r="51">
      <c r="A51" s="41" t="s">
        <v>44</v>
      </c>
      <c r="B51" s="20"/>
      <c r="C51" s="45"/>
      <c r="D51" s="45"/>
      <c r="E51" s="45"/>
      <c r="F51" s="45"/>
      <c r="G51" s="45"/>
      <c r="H51" s="45"/>
      <c r="I51" s="45"/>
      <c r="J51" s="45"/>
    </row>
    <row r="52">
      <c r="A52" s="73" t="s">
        <v>151</v>
      </c>
      <c r="B52" s="42"/>
      <c r="C52" s="24">
        <v>0.0</v>
      </c>
      <c r="D52" s="24">
        <v>0.0</v>
      </c>
      <c r="E52" s="24">
        <v>0.0</v>
      </c>
      <c r="F52" s="24">
        <v>0.0</v>
      </c>
      <c r="G52" s="24">
        <v>0.0</v>
      </c>
      <c r="H52" s="24">
        <v>0.0</v>
      </c>
      <c r="I52" s="24">
        <v>0.0</v>
      </c>
      <c r="J52" s="24">
        <v>0.0</v>
      </c>
    </row>
    <row r="53">
      <c r="A53" s="31" t="s">
        <v>53</v>
      </c>
      <c r="B53" s="24"/>
      <c r="C53" s="24">
        <v>0.0</v>
      </c>
      <c r="D53" s="24">
        <v>0.0</v>
      </c>
      <c r="E53" s="24">
        <v>0.0</v>
      </c>
      <c r="F53" s="24">
        <v>0.0</v>
      </c>
      <c r="G53" s="24">
        <v>0.0</v>
      </c>
      <c r="H53" s="24">
        <v>0.0</v>
      </c>
      <c r="I53" s="24">
        <v>0.0</v>
      </c>
      <c r="J53" s="24">
        <v>0.0</v>
      </c>
    </row>
    <row r="54">
      <c r="A54" s="73" t="s">
        <v>56</v>
      </c>
      <c r="B54" s="74"/>
      <c r="C54" s="24">
        <v>0.0</v>
      </c>
      <c r="D54" s="24">
        <v>0.0</v>
      </c>
      <c r="E54" s="24">
        <v>0.0</v>
      </c>
      <c r="F54" s="24">
        <v>0.0</v>
      </c>
      <c r="G54" s="24">
        <v>0.0</v>
      </c>
      <c r="H54" s="24">
        <v>0.0</v>
      </c>
      <c r="I54" s="24">
        <v>0.0</v>
      </c>
      <c r="J54" s="24">
        <v>0.0</v>
      </c>
    </row>
    <row r="55">
      <c r="A55" s="75" t="s">
        <v>155</v>
      </c>
      <c r="B55" s="20"/>
      <c r="C55" s="54">
        <f>SUM(C4:C54)</f>
        <v>0</v>
      </c>
      <c r="D55" s="56">
        <f>$D$3*C55</f>
        <v>0</v>
      </c>
      <c r="E55" s="54">
        <f>SUM(E4:E54)</f>
        <v>0</v>
      </c>
      <c r="F55" s="61">
        <f>$F$3*E55</f>
        <v>0</v>
      </c>
      <c r="G55" s="54">
        <f>SUM(G4:G54)</f>
        <v>0</v>
      </c>
      <c r="H55" s="61">
        <f>$H$3*G55</f>
        <v>0</v>
      </c>
      <c r="I55" s="54">
        <f>SUM(I4:I54)</f>
        <v>0</v>
      </c>
      <c r="J55" s="61">
        <f>$J$3*I55</f>
        <v>0</v>
      </c>
    </row>
    <row r="56">
      <c r="A56" s="76" t="s">
        <v>69</v>
      </c>
      <c r="B56" s="54">
        <f>SUM(F55+D55+J55+H55)</f>
        <v>0</v>
      </c>
      <c r="C56" s="45"/>
      <c r="D56" s="45"/>
      <c r="E56" s="45"/>
      <c r="F56" s="45"/>
      <c r="G56" s="45"/>
      <c r="H56" s="45"/>
      <c r="I56" s="45"/>
      <c r="J56" s="45"/>
    </row>
  </sheetData>
  <mergeCells count="21">
    <mergeCell ref="E13:E19"/>
    <mergeCell ref="F13:F19"/>
    <mergeCell ref="C21:C26"/>
    <mergeCell ref="D21:D26"/>
    <mergeCell ref="E21:E26"/>
    <mergeCell ref="F21:F26"/>
    <mergeCell ref="G13:G19"/>
    <mergeCell ref="H13:H19"/>
    <mergeCell ref="G21:G26"/>
    <mergeCell ref="H21:H26"/>
    <mergeCell ref="I13:I19"/>
    <mergeCell ref="J13:J19"/>
    <mergeCell ref="I21:I26"/>
    <mergeCell ref="J21:J26"/>
    <mergeCell ref="B1:B2"/>
    <mergeCell ref="C1:D1"/>
    <mergeCell ref="E1:F1"/>
    <mergeCell ref="G1:H1"/>
    <mergeCell ref="I1:J1"/>
    <mergeCell ref="C13:C19"/>
    <mergeCell ref="D13:D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66.0"/>
    <col customWidth="1" min="2" max="2" width="25.0"/>
    <col customWidth="1" min="3" max="6" width="12.63"/>
  </cols>
  <sheetData>
    <row r="1">
      <c r="A1" s="1"/>
      <c r="B1" s="4" t="s">
        <v>0</v>
      </c>
      <c r="C1" s="5"/>
      <c r="D1" s="6"/>
      <c r="E1" s="5" t="s">
        <v>2</v>
      </c>
      <c r="F1" s="6"/>
      <c r="G1" s="5" t="s">
        <v>4</v>
      </c>
      <c r="H1" s="6"/>
      <c r="I1" s="5" t="s">
        <v>5</v>
      </c>
      <c r="J1" s="6"/>
      <c r="K1" s="5" t="s">
        <v>6</v>
      </c>
      <c r="L1" s="6"/>
    </row>
    <row r="2">
      <c r="A2" s="10" t="s">
        <v>7</v>
      </c>
      <c r="B2" s="11"/>
      <c r="C2" s="12"/>
      <c r="D2" s="12"/>
      <c r="E2" s="12" t="s">
        <v>8</v>
      </c>
      <c r="F2" s="12" t="s">
        <v>9</v>
      </c>
      <c r="G2" s="12" t="s">
        <v>8</v>
      </c>
      <c r="H2" s="12" t="s">
        <v>9</v>
      </c>
      <c r="I2" s="12" t="s">
        <v>8</v>
      </c>
      <c r="J2" s="12" t="s">
        <v>9</v>
      </c>
      <c r="K2" s="12" t="s">
        <v>8</v>
      </c>
      <c r="L2" s="12" t="s">
        <v>9</v>
      </c>
    </row>
    <row r="3">
      <c r="A3" s="14"/>
      <c r="B3" s="15"/>
      <c r="C3" s="15"/>
      <c r="D3" s="15"/>
      <c r="E3" s="15"/>
      <c r="F3" s="17">
        <v>0.0</v>
      </c>
      <c r="G3" s="17"/>
      <c r="H3" s="17">
        <v>0.0</v>
      </c>
      <c r="I3" s="17"/>
      <c r="J3" s="17">
        <v>0.0</v>
      </c>
      <c r="K3" s="17"/>
      <c r="L3" s="17">
        <v>0.0</v>
      </c>
    </row>
    <row r="4">
      <c r="A4" s="21" t="s">
        <v>12</v>
      </c>
      <c r="B4" s="23"/>
      <c r="C4" s="17"/>
      <c r="D4" s="17"/>
      <c r="E4" s="17"/>
      <c r="F4" s="17"/>
      <c r="G4" s="17"/>
      <c r="H4" s="17"/>
      <c r="I4" s="17"/>
      <c r="J4" s="17"/>
      <c r="K4" s="17"/>
      <c r="L4" s="17"/>
    </row>
    <row r="5">
      <c r="A5" s="24" t="s">
        <v>14</v>
      </c>
      <c r="B5" s="24"/>
      <c r="C5" s="25"/>
      <c r="D5" s="25"/>
      <c r="E5" s="28">
        <v>0.0</v>
      </c>
      <c r="F5" s="28">
        <f>E5*$F$3</f>
        <v>0</v>
      </c>
      <c r="G5" s="28">
        <v>0.0</v>
      </c>
      <c r="H5" s="28">
        <f>G5*$H$3</f>
        <v>0</v>
      </c>
      <c r="I5" s="28">
        <v>0.0</v>
      </c>
      <c r="J5" s="28">
        <f>I5*$J$3</f>
        <v>0</v>
      </c>
      <c r="K5" s="28">
        <v>0.0</v>
      </c>
      <c r="L5" s="28">
        <f>K5*$L$3</f>
        <v>0</v>
      </c>
    </row>
    <row r="6">
      <c r="A6" s="24" t="s">
        <v>32</v>
      </c>
      <c r="B6" s="24"/>
      <c r="C6" s="25"/>
      <c r="D6" s="25"/>
      <c r="E6" s="39"/>
      <c r="F6" s="39"/>
      <c r="G6" s="39"/>
      <c r="H6" s="39"/>
      <c r="I6" s="39"/>
      <c r="J6" s="39"/>
      <c r="K6" s="39"/>
      <c r="L6" s="39"/>
    </row>
    <row r="7">
      <c r="A7" s="24" t="s">
        <v>35</v>
      </c>
      <c r="B7" s="24"/>
      <c r="C7" s="25"/>
      <c r="D7" s="25"/>
      <c r="E7" s="39"/>
      <c r="F7" s="39"/>
      <c r="G7" s="39"/>
      <c r="H7" s="39"/>
      <c r="I7" s="39"/>
      <c r="J7" s="39"/>
      <c r="K7" s="39"/>
      <c r="L7" s="39"/>
    </row>
    <row r="8">
      <c r="A8" s="24" t="s">
        <v>39</v>
      </c>
      <c r="B8" s="24"/>
      <c r="C8" s="25"/>
      <c r="D8" s="25"/>
      <c r="E8" s="39"/>
      <c r="F8" s="39"/>
      <c r="G8" s="39"/>
      <c r="H8" s="39"/>
      <c r="I8" s="39"/>
      <c r="J8" s="39"/>
      <c r="K8" s="39"/>
      <c r="L8" s="39"/>
    </row>
    <row r="9">
      <c r="A9" s="24" t="s">
        <v>43</v>
      </c>
      <c r="B9" s="24"/>
      <c r="C9" s="25"/>
      <c r="D9" s="25"/>
      <c r="E9" s="39"/>
      <c r="F9" s="39"/>
      <c r="G9" s="39"/>
      <c r="H9" s="39"/>
      <c r="I9" s="39"/>
      <c r="J9" s="39"/>
      <c r="K9" s="39"/>
      <c r="L9" s="39"/>
    </row>
    <row r="10">
      <c r="A10" s="24" t="s">
        <v>46</v>
      </c>
      <c r="B10" s="24"/>
      <c r="C10" s="25"/>
      <c r="D10" s="25"/>
      <c r="E10" s="39"/>
      <c r="F10" s="39"/>
      <c r="G10" s="39"/>
      <c r="H10" s="39"/>
      <c r="I10" s="39"/>
      <c r="J10" s="39"/>
      <c r="K10" s="39"/>
      <c r="L10" s="39"/>
    </row>
    <row r="11">
      <c r="A11" s="24" t="s">
        <v>49</v>
      </c>
      <c r="B11" s="24"/>
      <c r="C11" s="25"/>
      <c r="D11" s="25"/>
      <c r="E11" s="39"/>
      <c r="F11" s="39"/>
      <c r="G11" s="39"/>
      <c r="H11" s="39"/>
      <c r="I11" s="39"/>
      <c r="J11" s="39"/>
      <c r="K11" s="39"/>
      <c r="L11" s="39"/>
    </row>
    <row r="12">
      <c r="A12" s="24" t="s">
        <v>50</v>
      </c>
      <c r="B12" s="24"/>
      <c r="C12" s="25"/>
      <c r="D12" s="25"/>
      <c r="E12" s="39"/>
      <c r="F12" s="39"/>
      <c r="G12" s="39"/>
      <c r="H12" s="39"/>
      <c r="I12" s="39"/>
      <c r="J12" s="39"/>
      <c r="K12" s="39"/>
      <c r="L12" s="39"/>
    </row>
    <row r="13">
      <c r="A13" s="24" t="s">
        <v>54</v>
      </c>
      <c r="B13" s="24"/>
      <c r="C13" s="25"/>
      <c r="D13" s="25"/>
      <c r="E13" s="11"/>
      <c r="F13" s="11"/>
      <c r="G13" s="11"/>
      <c r="H13" s="11"/>
      <c r="I13" s="11"/>
      <c r="J13" s="11"/>
      <c r="K13" s="11"/>
      <c r="L13" s="11"/>
    </row>
    <row r="14">
      <c r="A14" s="47" t="s">
        <v>58</v>
      </c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1"/>
    </row>
    <row r="15">
      <c r="A15" s="24" t="s">
        <v>60</v>
      </c>
      <c r="B15" s="30"/>
      <c r="C15" s="25"/>
      <c r="D15" s="25"/>
      <c r="E15" s="25">
        <v>0.0</v>
      </c>
      <c r="F15" s="25">
        <v>0.0</v>
      </c>
      <c r="G15" s="25">
        <v>0.0</v>
      </c>
      <c r="H15" s="25">
        <v>0.0</v>
      </c>
      <c r="I15" s="25">
        <v>0.0</v>
      </c>
      <c r="J15" s="25">
        <v>0.0</v>
      </c>
      <c r="K15" s="25">
        <v>0.0</v>
      </c>
      <c r="L15" s="25">
        <v>0.0</v>
      </c>
    </row>
    <row r="16">
      <c r="A16" s="24" t="s">
        <v>61</v>
      </c>
      <c r="B16" s="24"/>
      <c r="C16" s="25"/>
      <c r="D16" s="25"/>
      <c r="E16" s="25">
        <v>0.0</v>
      </c>
      <c r="F16" s="25">
        <v>0.0</v>
      </c>
      <c r="G16" s="25">
        <v>0.0</v>
      </c>
      <c r="H16" s="25">
        <v>0.0</v>
      </c>
      <c r="I16" s="25">
        <v>0.0</v>
      </c>
      <c r="J16" s="25">
        <v>0.0</v>
      </c>
      <c r="K16" s="25">
        <v>0.0</v>
      </c>
      <c r="L16" s="25">
        <v>0.0</v>
      </c>
    </row>
    <row r="17">
      <c r="A17" s="24" t="s">
        <v>63</v>
      </c>
      <c r="B17" s="30"/>
      <c r="C17" s="25"/>
      <c r="D17" s="25"/>
      <c r="E17" s="25">
        <v>0.0</v>
      </c>
      <c r="F17" s="25">
        <v>0.0</v>
      </c>
      <c r="G17" s="25">
        <v>0.0</v>
      </c>
      <c r="H17" s="25">
        <v>0.0</v>
      </c>
      <c r="I17" s="25">
        <v>0.0</v>
      </c>
      <c r="J17" s="25">
        <v>0.0</v>
      </c>
      <c r="K17" s="25">
        <v>0.0</v>
      </c>
      <c r="L17" s="25">
        <v>0.0</v>
      </c>
    </row>
    <row r="18">
      <c r="A18" s="24" t="s">
        <v>65</v>
      </c>
      <c r="B18" s="30"/>
      <c r="C18" s="25"/>
      <c r="D18" s="25"/>
      <c r="E18" s="25">
        <v>0.0</v>
      </c>
      <c r="F18" s="25">
        <v>0.0</v>
      </c>
      <c r="G18" s="25">
        <v>0.0</v>
      </c>
      <c r="H18" s="25">
        <v>0.0</v>
      </c>
      <c r="I18" s="25">
        <v>0.0</v>
      </c>
      <c r="J18" s="25">
        <v>0.0</v>
      </c>
      <c r="K18" s="25">
        <v>0.0</v>
      </c>
      <c r="L18" s="25">
        <v>0.0</v>
      </c>
    </row>
    <row r="19">
      <c r="A19" s="24" t="s">
        <v>66</v>
      </c>
      <c r="B19" s="30"/>
      <c r="C19" s="25"/>
      <c r="D19" s="25"/>
      <c r="E19" s="25">
        <v>0.0</v>
      </c>
      <c r="F19" s="25">
        <v>0.0</v>
      </c>
      <c r="G19" s="25">
        <v>0.0</v>
      </c>
      <c r="H19" s="25">
        <v>0.0</v>
      </c>
      <c r="I19" s="25">
        <v>0.0</v>
      </c>
      <c r="J19" s="25">
        <v>0.0</v>
      </c>
      <c r="K19" s="25">
        <v>0.0</v>
      </c>
      <c r="L19" s="25">
        <v>0.0</v>
      </c>
    </row>
    <row r="20">
      <c r="A20" s="24" t="s">
        <v>67</v>
      </c>
      <c r="B20" s="30"/>
      <c r="C20" s="25"/>
      <c r="D20" s="25"/>
      <c r="E20" s="25">
        <v>0.0</v>
      </c>
      <c r="F20" s="25">
        <v>0.0</v>
      </c>
      <c r="G20" s="25">
        <v>0.0</v>
      </c>
      <c r="H20" s="25">
        <v>0.0</v>
      </c>
      <c r="I20" s="25">
        <v>0.0</v>
      </c>
      <c r="J20" s="25">
        <v>0.0</v>
      </c>
      <c r="K20" s="25">
        <v>0.0</v>
      </c>
      <c r="L20" s="25">
        <v>0.0</v>
      </c>
    </row>
    <row r="21">
      <c r="A21" s="24" t="s">
        <v>70</v>
      </c>
      <c r="B21" s="30"/>
      <c r="C21" s="25"/>
      <c r="D21" s="25"/>
      <c r="E21" s="25">
        <v>0.0</v>
      </c>
      <c r="F21" s="25">
        <v>0.0</v>
      </c>
      <c r="G21" s="25">
        <v>0.0</v>
      </c>
      <c r="H21" s="25">
        <v>0.0</v>
      </c>
      <c r="I21" s="25">
        <v>0.0</v>
      </c>
      <c r="J21" s="25">
        <v>0.0</v>
      </c>
      <c r="K21" s="25">
        <v>0.0</v>
      </c>
      <c r="L21" s="25">
        <v>0.0</v>
      </c>
    </row>
    <row r="22">
      <c r="A22" s="24" t="s">
        <v>72</v>
      </c>
      <c r="B22" s="30"/>
      <c r="C22" s="25"/>
      <c r="D22" s="25"/>
      <c r="E22" s="25">
        <v>0.0</v>
      </c>
      <c r="F22" s="25">
        <v>0.0</v>
      </c>
      <c r="G22" s="25">
        <v>0.0</v>
      </c>
      <c r="H22" s="25">
        <v>0.0</v>
      </c>
      <c r="I22" s="25">
        <v>0.0</v>
      </c>
      <c r="J22" s="25">
        <v>0.0</v>
      </c>
      <c r="K22" s="25">
        <v>0.0</v>
      </c>
      <c r="L22" s="25">
        <v>0.0</v>
      </c>
    </row>
    <row r="23">
      <c r="A23" s="24" t="s">
        <v>74</v>
      </c>
      <c r="B23" s="30"/>
      <c r="C23" s="25"/>
      <c r="D23" s="25"/>
      <c r="E23" s="25">
        <v>0.0</v>
      </c>
      <c r="F23" s="25">
        <v>0.0</v>
      </c>
      <c r="G23" s="25">
        <v>0.0</v>
      </c>
      <c r="H23" s="25">
        <v>0.0</v>
      </c>
      <c r="I23" s="25">
        <v>0.0</v>
      </c>
      <c r="J23" s="25">
        <v>0.0</v>
      </c>
      <c r="K23" s="25">
        <v>0.0</v>
      </c>
      <c r="L23" s="25">
        <v>0.0</v>
      </c>
    </row>
    <row r="24">
      <c r="A24" s="24" t="s">
        <v>76</v>
      </c>
      <c r="B24" s="30"/>
      <c r="C24" s="25"/>
      <c r="D24" s="25"/>
      <c r="E24" s="25">
        <v>0.0</v>
      </c>
      <c r="F24" s="25">
        <v>0.0</v>
      </c>
      <c r="G24" s="25">
        <v>0.0</v>
      </c>
      <c r="H24" s="25">
        <v>0.0</v>
      </c>
      <c r="I24" s="25">
        <v>0.0</v>
      </c>
      <c r="J24" s="25">
        <v>0.0</v>
      </c>
      <c r="K24" s="25">
        <v>0.0</v>
      </c>
      <c r="L24" s="25">
        <v>0.0</v>
      </c>
    </row>
    <row r="25">
      <c r="A25" s="24" t="s">
        <v>77</v>
      </c>
      <c r="B25" s="30"/>
      <c r="C25" s="25"/>
      <c r="D25" s="25"/>
      <c r="E25" s="25">
        <v>0.0</v>
      </c>
      <c r="F25" s="25">
        <v>0.0</v>
      </c>
      <c r="G25" s="25">
        <v>0.0</v>
      </c>
      <c r="H25" s="25">
        <v>0.0</v>
      </c>
      <c r="I25" s="25">
        <v>0.0</v>
      </c>
      <c r="J25" s="25">
        <v>0.0</v>
      </c>
      <c r="K25" s="25">
        <v>0.0</v>
      </c>
      <c r="L25" s="25">
        <v>0.0</v>
      </c>
    </row>
    <row r="26">
      <c r="A26" s="68" t="s">
        <v>78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</row>
    <row r="27">
      <c r="A27" s="24" t="s">
        <v>79</v>
      </c>
      <c r="B27" s="30"/>
      <c r="C27" s="25"/>
      <c r="D27" s="25"/>
      <c r="E27" s="25">
        <v>0.0</v>
      </c>
      <c r="F27" s="25">
        <v>0.0</v>
      </c>
      <c r="G27" s="25">
        <v>0.0</v>
      </c>
      <c r="H27" s="25">
        <v>0.0</v>
      </c>
      <c r="I27" s="25">
        <v>0.0</v>
      </c>
      <c r="J27" s="25">
        <v>0.0</v>
      </c>
      <c r="K27" s="25">
        <v>0.0</v>
      </c>
      <c r="L27" s="25">
        <v>0.0</v>
      </c>
    </row>
    <row r="28">
      <c r="A28" s="24" t="s">
        <v>80</v>
      </c>
      <c r="B28" s="30"/>
      <c r="C28" s="25"/>
      <c r="D28" s="25"/>
      <c r="E28" s="25">
        <v>0.0</v>
      </c>
      <c r="F28" s="25">
        <v>0.0</v>
      </c>
      <c r="G28" s="25">
        <v>0.0</v>
      </c>
      <c r="H28" s="25">
        <v>0.0</v>
      </c>
      <c r="I28" s="25">
        <v>0.0</v>
      </c>
      <c r="J28" s="25">
        <v>0.0</v>
      </c>
      <c r="K28" s="25">
        <v>0.0</v>
      </c>
      <c r="L28" s="25">
        <v>0.0</v>
      </c>
    </row>
    <row r="29">
      <c r="A29" s="24" t="s">
        <v>81</v>
      </c>
      <c r="B29" s="30"/>
      <c r="C29" s="25"/>
      <c r="D29" s="25"/>
      <c r="E29" s="25">
        <v>0.0</v>
      </c>
      <c r="F29" s="25">
        <v>0.0</v>
      </c>
      <c r="G29" s="25">
        <v>0.0</v>
      </c>
      <c r="H29" s="25">
        <v>0.0</v>
      </c>
      <c r="I29" s="25">
        <v>0.0</v>
      </c>
      <c r="J29" s="25">
        <v>0.0</v>
      </c>
      <c r="K29" s="25">
        <v>0.0</v>
      </c>
      <c r="L29" s="25">
        <v>0.0</v>
      </c>
    </row>
    <row r="30">
      <c r="A30" s="24" t="s">
        <v>83</v>
      </c>
      <c r="B30" s="30"/>
      <c r="C30" s="25"/>
      <c r="D30" s="25"/>
      <c r="E30" s="25">
        <v>0.0</v>
      </c>
      <c r="F30" s="25">
        <v>0.0</v>
      </c>
      <c r="G30" s="25">
        <v>0.0</v>
      </c>
      <c r="H30" s="25">
        <v>0.0</v>
      </c>
      <c r="I30" s="25">
        <v>0.0</v>
      </c>
      <c r="J30" s="25">
        <v>0.0</v>
      </c>
      <c r="K30" s="25">
        <v>0.0</v>
      </c>
      <c r="L30" s="25">
        <v>0.0</v>
      </c>
    </row>
    <row r="31">
      <c r="A31" s="24" t="s">
        <v>86</v>
      </c>
      <c r="B31" s="30"/>
      <c r="C31" s="25"/>
      <c r="D31" s="25"/>
      <c r="E31" s="25">
        <v>0.0</v>
      </c>
      <c r="F31" s="25">
        <v>0.0</v>
      </c>
      <c r="G31" s="25">
        <v>0.0</v>
      </c>
      <c r="H31" s="25">
        <v>0.0</v>
      </c>
      <c r="I31" s="25">
        <v>0.0</v>
      </c>
      <c r="J31" s="25">
        <v>0.0</v>
      </c>
      <c r="K31" s="25">
        <v>0.0</v>
      </c>
      <c r="L31" s="25">
        <v>0.0</v>
      </c>
    </row>
    <row r="32">
      <c r="A32" s="24" t="s">
        <v>88</v>
      </c>
      <c r="B32" s="30"/>
      <c r="C32" s="25"/>
      <c r="D32" s="25"/>
      <c r="E32" s="25">
        <v>0.0</v>
      </c>
      <c r="F32" s="25">
        <v>0.0</v>
      </c>
      <c r="G32" s="25">
        <v>0.0</v>
      </c>
      <c r="H32" s="25">
        <v>0.0</v>
      </c>
      <c r="I32" s="25">
        <v>0.0</v>
      </c>
      <c r="J32" s="25">
        <v>0.0</v>
      </c>
      <c r="K32" s="25">
        <v>0.0</v>
      </c>
      <c r="L32" s="25">
        <v>0.0</v>
      </c>
    </row>
    <row r="33">
      <c r="A33" s="24" t="s">
        <v>91</v>
      </c>
      <c r="B33" s="30"/>
      <c r="C33" s="25"/>
      <c r="D33" s="25"/>
      <c r="E33" s="25">
        <v>0.0</v>
      </c>
      <c r="F33" s="25">
        <v>0.0</v>
      </c>
      <c r="G33" s="25">
        <v>0.0</v>
      </c>
      <c r="H33" s="25">
        <v>0.0</v>
      </c>
      <c r="I33" s="25">
        <v>0.0</v>
      </c>
      <c r="J33" s="25">
        <v>0.0</v>
      </c>
      <c r="K33" s="25">
        <v>0.0</v>
      </c>
      <c r="L33" s="25">
        <v>0.0</v>
      </c>
    </row>
    <row r="34">
      <c r="A34" s="68" t="s">
        <v>93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>
      <c r="A35" s="24" t="s">
        <v>95</v>
      </c>
      <c r="B35" s="30"/>
      <c r="C35" s="25"/>
      <c r="D35" s="25"/>
      <c r="E35" s="25">
        <v>0.0</v>
      </c>
      <c r="F35" s="25">
        <v>0.0</v>
      </c>
      <c r="G35" s="25">
        <v>0.0</v>
      </c>
      <c r="H35" s="25">
        <v>0.0</v>
      </c>
      <c r="I35" s="25">
        <v>0.0</v>
      </c>
      <c r="J35" s="25">
        <v>0.0</v>
      </c>
      <c r="K35" s="25">
        <v>0.0</v>
      </c>
      <c r="L35" s="25">
        <v>0.0</v>
      </c>
    </row>
    <row r="36">
      <c r="A36" s="24" t="s">
        <v>96</v>
      </c>
      <c r="B36" s="30"/>
      <c r="C36" s="25"/>
      <c r="D36" s="25"/>
      <c r="E36" s="25">
        <v>0.0</v>
      </c>
      <c r="F36" s="25">
        <v>0.0</v>
      </c>
      <c r="G36" s="25">
        <v>0.0</v>
      </c>
      <c r="H36" s="25">
        <v>0.0</v>
      </c>
      <c r="I36" s="25">
        <v>0.0</v>
      </c>
      <c r="J36" s="25">
        <v>0.0</v>
      </c>
      <c r="K36" s="25">
        <v>0.0</v>
      </c>
      <c r="L36" s="25">
        <v>0.0</v>
      </c>
    </row>
    <row r="37">
      <c r="A37" s="24" t="s">
        <v>97</v>
      </c>
      <c r="B37" s="30"/>
      <c r="C37" s="25"/>
      <c r="D37" s="25"/>
      <c r="E37" s="25">
        <v>0.0</v>
      </c>
      <c r="F37" s="25">
        <v>0.0</v>
      </c>
      <c r="G37" s="25">
        <v>0.0</v>
      </c>
      <c r="H37" s="25">
        <v>0.0</v>
      </c>
      <c r="I37" s="25">
        <v>0.0</v>
      </c>
      <c r="J37" s="25">
        <v>0.0</v>
      </c>
      <c r="K37" s="25">
        <v>0.0</v>
      </c>
      <c r="L37" s="25">
        <v>0.0</v>
      </c>
    </row>
    <row r="38">
      <c r="A38" s="24" t="s">
        <v>98</v>
      </c>
      <c r="B38" s="30"/>
      <c r="C38" s="25"/>
      <c r="D38" s="25"/>
      <c r="E38" s="25">
        <v>0.0</v>
      </c>
      <c r="F38" s="25">
        <v>0.0</v>
      </c>
      <c r="G38" s="25">
        <v>0.0</v>
      </c>
      <c r="H38" s="25">
        <v>0.0</v>
      </c>
      <c r="I38" s="25">
        <v>0.0</v>
      </c>
      <c r="J38" s="25">
        <v>0.0</v>
      </c>
      <c r="K38" s="25">
        <v>0.0</v>
      </c>
      <c r="L38" s="25">
        <v>0.0</v>
      </c>
    </row>
    <row r="39">
      <c r="A39" s="24" t="s">
        <v>99</v>
      </c>
      <c r="B39" s="30"/>
      <c r="C39" s="25"/>
      <c r="D39" s="25"/>
      <c r="E39" s="25">
        <v>0.0</v>
      </c>
      <c r="F39" s="25">
        <v>0.0</v>
      </c>
      <c r="G39" s="25">
        <v>0.0</v>
      </c>
      <c r="H39" s="25">
        <v>0.0</v>
      </c>
      <c r="I39" s="25">
        <v>0.0</v>
      </c>
      <c r="J39" s="25">
        <v>0.0</v>
      </c>
      <c r="K39" s="25">
        <v>0.0</v>
      </c>
      <c r="L39" s="25">
        <v>0.0</v>
      </c>
    </row>
    <row r="40">
      <c r="A40" s="24" t="s">
        <v>101</v>
      </c>
      <c r="B40" s="30"/>
      <c r="C40" s="25"/>
      <c r="D40" s="25"/>
      <c r="E40" s="25">
        <v>0.0</v>
      </c>
      <c r="F40" s="25">
        <v>0.0</v>
      </c>
      <c r="G40" s="25">
        <v>0.0</v>
      </c>
      <c r="H40" s="25">
        <v>0.0</v>
      </c>
      <c r="I40" s="25">
        <v>0.0</v>
      </c>
      <c r="J40" s="25">
        <v>0.0</v>
      </c>
      <c r="K40" s="25">
        <v>0.0</v>
      </c>
      <c r="L40" s="25">
        <v>0.0</v>
      </c>
    </row>
    <row r="41">
      <c r="A41" s="24" t="s">
        <v>104</v>
      </c>
      <c r="B41" s="30"/>
      <c r="C41" s="25"/>
      <c r="D41" s="25"/>
      <c r="E41" s="25">
        <v>0.0</v>
      </c>
      <c r="F41" s="25">
        <v>0.0</v>
      </c>
      <c r="G41" s="25">
        <v>0.0</v>
      </c>
      <c r="H41" s="25">
        <v>0.0</v>
      </c>
      <c r="I41" s="25">
        <v>0.0</v>
      </c>
      <c r="J41" s="25">
        <v>0.0</v>
      </c>
      <c r="K41" s="25">
        <v>0.0</v>
      </c>
      <c r="L41" s="25">
        <v>0.0</v>
      </c>
    </row>
    <row r="42">
      <c r="A42" s="24" t="s">
        <v>106</v>
      </c>
      <c r="B42" s="30"/>
      <c r="C42" s="25"/>
      <c r="D42" s="25"/>
      <c r="E42" s="25">
        <v>0.0</v>
      </c>
      <c r="F42" s="25">
        <v>0.0</v>
      </c>
      <c r="G42" s="25">
        <v>0.0</v>
      </c>
      <c r="H42" s="25">
        <v>0.0</v>
      </c>
      <c r="I42" s="25">
        <v>0.0</v>
      </c>
      <c r="J42" s="25">
        <v>0.0</v>
      </c>
      <c r="K42" s="25">
        <v>0.0</v>
      </c>
      <c r="L42" s="25">
        <v>0.0</v>
      </c>
    </row>
    <row r="43">
      <c r="A43" s="24" t="s">
        <v>108</v>
      </c>
      <c r="B43" s="30"/>
      <c r="C43" s="25"/>
      <c r="D43" s="25"/>
      <c r="E43" s="25">
        <v>0.0</v>
      </c>
      <c r="F43" s="25">
        <v>0.0</v>
      </c>
      <c r="G43" s="25">
        <v>0.0</v>
      </c>
      <c r="H43" s="25">
        <v>0.0</v>
      </c>
      <c r="I43" s="25">
        <v>0.0</v>
      </c>
      <c r="J43" s="25">
        <v>0.0</v>
      </c>
      <c r="K43" s="25">
        <v>0.0</v>
      </c>
      <c r="L43" s="25">
        <v>0.0</v>
      </c>
    </row>
    <row r="44">
      <c r="A44" s="68" t="s">
        <v>110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</row>
    <row r="45">
      <c r="A45" s="24" t="s">
        <v>112</v>
      </c>
      <c r="B45" s="30"/>
      <c r="C45" s="25"/>
      <c r="D45" s="25"/>
      <c r="E45" s="25">
        <v>0.0</v>
      </c>
      <c r="F45" s="25">
        <v>0.0</v>
      </c>
      <c r="G45" s="25">
        <v>0.0</v>
      </c>
      <c r="H45" s="25">
        <v>0.0</v>
      </c>
      <c r="I45" s="25">
        <v>0.0</v>
      </c>
      <c r="J45" s="25">
        <v>0.0</v>
      </c>
      <c r="K45" s="25">
        <v>0.0</v>
      </c>
      <c r="L45" s="25">
        <v>0.0</v>
      </c>
    </row>
    <row r="46">
      <c r="A46" s="24" t="s">
        <v>115</v>
      </c>
      <c r="B46" s="30"/>
      <c r="C46" s="25"/>
      <c r="D46" s="25"/>
      <c r="E46" s="25">
        <v>0.0</v>
      </c>
      <c r="F46" s="25">
        <v>0.0</v>
      </c>
      <c r="G46" s="25">
        <v>0.0</v>
      </c>
      <c r="H46" s="25">
        <v>0.0</v>
      </c>
      <c r="I46" s="25">
        <v>0.0</v>
      </c>
      <c r="J46" s="25">
        <v>0.0</v>
      </c>
      <c r="K46" s="25">
        <v>0.0</v>
      </c>
      <c r="L46" s="25">
        <v>0.0</v>
      </c>
    </row>
    <row r="47">
      <c r="A47" s="24" t="s">
        <v>117</v>
      </c>
      <c r="B47" s="30"/>
      <c r="C47" s="25"/>
      <c r="D47" s="25"/>
      <c r="E47" s="25">
        <v>0.0</v>
      </c>
      <c r="F47" s="25">
        <v>0.0</v>
      </c>
      <c r="G47" s="25">
        <v>0.0</v>
      </c>
      <c r="H47" s="25">
        <v>0.0</v>
      </c>
      <c r="I47" s="25">
        <v>0.0</v>
      </c>
      <c r="J47" s="25">
        <v>0.0</v>
      </c>
      <c r="K47" s="25">
        <v>0.0</v>
      </c>
      <c r="L47" s="25">
        <v>0.0</v>
      </c>
    </row>
    <row r="48">
      <c r="A48" s="24" t="s">
        <v>119</v>
      </c>
      <c r="B48" s="30"/>
      <c r="C48" s="25"/>
      <c r="D48" s="25"/>
      <c r="E48" s="25">
        <v>0.0</v>
      </c>
      <c r="F48" s="25">
        <v>0.0</v>
      </c>
      <c r="G48" s="25">
        <v>0.0</v>
      </c>
      <c r="H48" s="25">
        <v>0.0</v>
      </c>
      <c r="I48" s="25">
        <v>0.0</v>
      </c>
      <c r="J48" s="25">
        <v>0.0</v>
      </c>
      <c r="K48" s="25">
        <v>0.0</v>
      </c>
      <c r="L48" s="25">
        <v>0.0</v>
      </c>
    </row>
    <row r="49">
      <c r="A49" s="68" t="s">
        <v>122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</row>
    <row r="50">
      <c r="A50" s="24" t="s">
        <v>124</v>
      </c>
      <c r="B50" s="30"/>
      <c r="C50" s="25"/>
      <c r="D50" s="25"/>
      <c r="E50" s="25">
        <v>0.0</v>
      </c>
      <c r="F50" s="25">
        <v>0.0</v>
      </c>
      <c r="G50" s="25">
        <v>0.0</v>
      </c>
      <c r="H50" s="25">
        <v>0.0</v>
      </c>
      <c r="I50" s="25">
        <v>0.0</v>
      </c>
      <c r="J50" s="25">
        <v>0.0</v>
      </c>
      <c r="K50" s="25">
        <v>0.0</v>
      </c>
      <c r="L50" s="25">
        <v>0.0</v>
      </c>
    </row>
    <row r="51">
      <c r="A51" s="24" t="s">
        <v>127</v>
      </c>
      <c r="B51" s="30"/>
      <c r="C51" s="25"/>
      <c r="D51" s="25"/>
      <c r="E51" s="25">
        <v>0.0</v>
      </c>
      <c r="F51" s="25">
        <v>0.0</v>
      </c>
      <c r="G51" s="25">
        <v>0.0</v>
      </c>
      <c r="H51" s="25">
        <v>0.0</v>
      </c>
      <c r="I51" s="25">
        <v>0.0</v>
      </c>
      <c r="J51" s="25">
        <v>0.0</v>
      </c>
      <c r="K51" s="25">
        <v>0.0</v>
      </c>
      <c r="L51" s="25">
        <v>0.0</v>
      </c>
    </row>
    <row r="52">
      <c r="A52" s="24" t="s">
        <v>130</v>
      </c>
      <c r="B52" s="30"/>
      <c r="C52" s="25"/>
      <c r="D52" s="25"/>
      <c r="E52" s="25">
        <v>0.0</v>
      </c>
      <c r="F52" s="25">
        <v>0.0</v>
      </c>
      <c r="G52" s="25">
        <v>0.0</v>
      </c>
      <c r="H52" s="25">
        <v>0.0</v>
      </c>
      <c r="I52" s="25">
        <v>0.0</v>
      </c>
      <c r="J52" s="25">
        <v>0.0</v>
      </c>
      <c r="K52" s="25">
        <v>0.0</v>
      </c>
      <c r="L52" s="25">
        <v>0.0</v>
      </c>
    </row>
    <row r="53">
      <c r="A53" s="24" t="s">
        <v>132</v>
      </c>
      <c r="B53" s="30"/>
      <c r="C53" s="25"/>
      <c r="D53" s="25"/>
      <c r="E53" s="25">
        <v>0.0</v>
      </c>
      <c r="F53" s="25">
        <v>0.0</v>
      </c>
      <c r="G53" s="25">
        <v>0.0</v>
      </c>
      <c r="H53" s="25">
        <v>0.0</v>
      </c>
      <c r="I53" s="25">
        <v>0.0</v>
      </c>
      <c r="J53" s="25">
        <v>0.0</v>
      </c>
      <c r="K53" s="25">
        <v>0.0</v>
      </c>
      <c r="L53" s="25">
        <v>0.0</v>
      </c>
    </row>
    <row r="54">
      <c r="A54" s="68" t="s">
        <v>134</v>
      </c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</row>
    <row r="55">
      <c r="A55" s="24" t="s">
        <v>135</v>
      </c>
      <c r="B55" s="30"/>
      <c r="C55" s="25"/>
      <c r="D55" s="25"/>
      <c r="E55" s="25">
        <v>0.0</v>
      </c>
      <c r="F55" s="25">
        <f>E55*$F$3</f>
        <v>0</v>
      </c>
      <c r="G55" s="25">
        <v>0.0</v>
      </c>
      <c r="H55" s="25">
        <f>G55*$H$3</f>
        <v>0</v>
      </c>
      <c r="I55" s="25">
        <v>0.0</v>
      </c>
      <c r="J55" s="25">
        <f>I55*$J$3</f>
        <v>0</v>
      </c>
      <c r="K55" s="25">
        <v>0.0</v>
      </c>
      <c r="L55" s="25">
        <f>K55*$L$3</f>
        <v>0</v>
      </c>
    </row>
    <row r="56">
      <c r="A56" s="68" t="s">
        <v>140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</row>
    <row r="57">
      <c r="A57" s="24" t="s">
        <v>142</v>
      </c>
      <c r="B57" s="30"/>
      <c r="C57" s="25"/>
      <c r="D57" s="25"/>
      <c r="E57" s="25">
        <v>0.0</v>
      </c>
      <c r="F57" s="25">
        <v>0.0</v>
      </c>
      <c r="G57" s="25">
        <v>0.0</v>
      </c>
      <c r="H57" s="25">
        <v>0.0</v>
      </c>
      <c r="I57" s="25">
        <v>0.0</v>
      </c>
      <c r="J57" s="25">
        <v>0.0</v>
      </c>
      <c r="K57" s="25">
        <v>0.0</v>
      </c>
      <c r="L57" s="25">
        <v>0.0</v>
      </c>
    </row>
    <row r="58">
      <c r="A58" s="24" t="s">
        <v>145</v>
      </c>
      <c r="B58" s="30"/>
      <c r="C58" s="25"/>
      <c r="D58" s="25"/>
      <c r="E58" s="25">
        <v>0.0</v>
      </c>
      <c r="F58" s="25">
        <v>0.0</v>
      </c>
      <c r="G58" s="25">
        <v>0.0</v>
      </c>
      <c r="H58" s="25">
        <v>0.0</v>
      </c>
      <c r="I58" s="25">
        <v>0.0</v>
      </c>
      <c r="J58" s="25">
        <v>0.0</v>
      </c>
      <c r="K58" s="25">
        <v>0.0</v>
      </c>
      <c r="L58" s="25">
        <v>0.0</v>
      </c>
    </row>
    <row r="59">
      <c r="A59" s="68" t="s">
        <v>147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</row>
    <row r="60">
      <c r="A60" s="24" t="s">
        <v>149</v>
      </c>
      <c r="B60" s="30"/>
      <c r="C60" s="25"/>
      <c r="D60" s="25"/>
      <c r="E60" s="25">
        <v>0.0</v>
      </c>
      <c r="F60" s="25">
        <v>0.0</v>
      </c>
      <c r="G60" s="25">
        <v>0.0</v>
      </c>
      <c r="H60" s="25">
        <v>0.0</v>
      </c>
      <c r="I60" s="25">
        <v>0.0</v>
      </c>
      <c r="J60" s="25">
        <v>0.0</v>
      </c>
      <c r="K60" s="25">
        <v>0.0</v>
      </c>
      <c r="L60" s="25">
        <v>0.0</v>
      </c>
    </row>
    <row r="61">
      <c r="A61" s="24" t="s">
        <v>150</v>
      </c>
      <c r="B61" s="30"/>
      <c r="C61" s="25"/>
      <c r="D61" s="25"/>
      <c r="E61" s="25">
        <v>0.0</v>
      </c>
      <c r="F61" s="25">
        <v>0.0</v>
      </c>
      <c r="G61" s="25">
        <v>0.0</v>
      </c>
      <c r="H61" s="25">
        <v>0.0</v>
      </c>
      <c r="I61" s="25">
        <v>0.0</v>
      </c>
      <c r="J61" s="25">
        <v>0.0</v>
      </c>
      <c r="K61" s="25">
        <v>0.0</v>
      </c>
      <c r="L61" s="25">
        <v>0.0</v>
      </c>
    </row>
    <row r="62">
      <c r="A62" s="24" t="s">
        <v>152</v>
      </c>
      <c r="B62" s="30"/>
      <c r="C62" s="25"/>
      <c r="D62" s="25"/>
      <c r="E62" s="25">
        <v>0.0</v>
      </c>
      <c r="F62" s="25">
        <v>0.0</v>
      </c>
      <c r="G62" s="25">
        <v>0.0</v>
      </c>
      <c r="H62" s="25">
        <v>0.0</v>
      </c>
      <c r="I62" s="25">
        <v>0.0</v>
      </c>
      <c r="J62" s="25">
        <v>0.0</v>
      </c>
      <c r="K62" s="25">
        <v>0.0</v>
      </c>
      <c r="L62" s="25">
        <v>0.0</v>
      </c>
    </row>
    <row r="63">
      <c r="A63" s="24" t="s">
        <v>153</v>
      </c>
      <c r="B63" s="30"/>
      <c r="C63" s="25"/>
      <c r="D63" s="25"/>
      <c r="E63" s="25">
        <v>0.0</v>
      </c>
      <c r="F63" s="25">
        <v>0.0</v>
      </c>
      <c r="G63" s="25">
        <v>0.0</v>
      </c>
      <c r="H63" s="25">
        <v>0.0</v>
      </c>
      <c r="I63" s="25">
        <v>0.0</v>
      </c>
      <c r="J63" s="25">
        <v>0.0</v>
      </c>
      <c r="K63" s="25">
        <v>0.0</v>
      </c>
      <c r="L63" s="25">
        <v>0.0</v>
      </c>
    </row>
    <row r="64">
      <c r="A64" s="24" t="s">
        <v>154</v>
      </c>
      <c r="B64" s="30"/>
      <c r="C64" s="25"/>
      <c r="D64" s="25"/>
      <c r="E64" s="25">
        <v>0.0</v>
      </c>
      <c r="F64" s="25">
        <v>0.0</v>
      </c>
      <c r="G64" s="25">
        <v>0.0</v>
      </c>
      <c r="H64" s="25">
        <v>0.0</v>
      </c>
      <c r="I64" s="25">
        <v>0.0</v>
      </c>
      <c r="J64" s="25">
        <v>0.0</v>
      </c>
      <c r="K64" s="25">
        <v>0.0</v>
      </c>
      <c r="L64" s="25">
        <v>0.0</v>
      </c>
    </row>
    <row r="65">
      <c r="A65" s="24" t="s">
        <v>156</v>
      </c>
      <c r="B65" s="30"/>
      <c r="C65" s="25"/>
      <c r="D65" s="25"/>
      <c r="E65" s="25">
        <v>0.0</v>
      </c>
      <c r="F65" s="25">
        <v>0.0</v>
      </c>
      <c r="G65" s="25">
        <v>0.0</v>
      </c>
      <c r="H65" s="25">
        <v>0.0</v>
      </c>
      <c r="I65" s="25">
        <v>0.0</v>
      </c>
      <c r="J65" s="25">
        <v>0.0</v>
      </c>
      <c r="K65" s="25">
        <v>0.0</v>
      </c>
      <c r="L65" s="25">
        <v>0.0</v>
      </c>
    </row>
    <row r="66">
      <c r="A66" s="24" t="s">
        <v>157</v>
      </c>
      <c r="B66" s="30"/>
      <c r="C66" s="25"/>
      <c r="D66" s="25"/>
      <c r="E66" s="25">
        <v>0.0</v>
      </c>
      <c r="F66" s="25">
        <v>0.0</v>
      </c>
      <c r="G66" s="25">
        <v>0.0</v>
      </c>
      <c r="H66" s="25">
        <v>0.0</v>
      </c>
      <c r="I66" s="25">
        <v>0.0</v>
      </c>
      <c r="J66" s="25">
        <v>0.0</v>
      </c>
      <c r="K66" s="25">
        <v>0.0</v>
      </c>
      <c r="L66" s="25">
        <v>0.0</v>
      </c>
    </row>
    <row r="67">
      <c r="A67" s="24" t="s">
        <v>158</v>
      </c>
      <c r="B67" s="30"/>
      <c r="C67" s="25"/>
      <c r="D67" s="25"/>
      <c r="E67" s="25">
        <v>0.0</v>
      </c>
      <c r="F67" s="25">
        <v>0.0</v>
      </c>
      <c r="G67" s="25">
        <v>0.0</v>
      </c>
      <c r="H67" s="25">
        <v>0.0</v>
      </c>
      <c r="I67" s="25">
        <v>0.0</v>
      </c>
      <c r="J67" s="25">
        <v>0.0</v>
      </c>
      <c r="K67" s="25">
        <v>0.0</v>
      </c>
      <c r="L67" s="25">
        <v>0.0</v>
      </c>
    </row>
    <row r="68">
      <c r="A68" s="24" t="s">
        <v>159</v>
      </c>
      <c r="B68" s="30"/>
      <c r="C68" s="25"/>
      <c r="D68" s="25"/>
      <c r="E68" s="25">
        <v>0.0</v>
      </c>
      <c r="F68" s="25">
        <v>0.0</v>
      </c>
      <c r="G68" s="25">
        <v>0.0</v>
      </c>
      <c r="H68" s="25">
        <v>0.0</v>
      </c>
      <c r="I68" s="25">
        <v>0.0</v>
      </c>
      <c r="J68" s="25">
        <v>0.0</v>
      </c>
      <c r="K68" s="25">
        <v>0.0</v>
      </c>
      <c r="L68" s="25">
        <v>0.0</v>
      </c>
    </row>
    <row r="69">
      <c r="A69" s="24" t="s">
        <v>160</v>
      </c>
      <c r="B69" s="30"/>
      <c r="C69" s="25"/>
      <c r="D69" s="25"/>
      <c r="E69" s="25">
        <v>0.0</v>
      </c>
      <c r="F69" s="25">
        <v>0.0</v>
      </c>
      <c r="G69" s="25">
        <v>0.0</v>
      </c>
      <c r="H69" s="25">
        <v>0.0</v>
      </c>
      <c r="I69" s="25">
        <v>0.0</v>
      </c>
      <c r="J69" s="25">
        <v>0.0</v>
      </c>
      <c r="K69" s="25">
        <v>0.0</v>
      </c>
      <c r="L69" s="25">
        <v>0.0</v>
      </c>
    </row>
    <row r="70">
      <c r="A70" s="24" t="s">
        <v>161</v>
      </c>
      <c r="B70" s="30"/>
      <c r="C70" s="25"/>
      <c r="D70" s="25"/>
      <c r="E70" s="25">
        <v>0.0</v>
      </c>
      <c r="F70" s="25">
        <v>0.0</v>
      </c>
      <c r="G70" s="25">
        <v>0.0</v>
      </c>
      <c r="H70" s="25">
        <v>0.0</v>
      </c>
      <c r="I70" s="25">
        <v>0.0</v>
      </c>
      <c r="J70" s="25">
        <v>0.0</v>
      </c>
      <c r="K70" s="25">
        <v>0.0</v>
      </c>
      <c r="L70" s="25">
        <v>0.0</v>
      </c>
    </row>
    <row r="71">
      <c r="A71" s="68" t="s">
        <v>162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</row>
    <row r="72">
      <c r="A72" s="24" t="s">
        <v>163</v>
      </c>
      <c r="B72" s="30"/>
      <c r="C72" s="25"/>
      <c r="D72" s="25"/>
      <c r="E72" s="25">
        <v>0.0</v>
      </c>
      <c r="F72" s="25">
        <v>0.0</v>
      </c>
      <c r="G72" s="25">
        <v>0.0</v>
      </c>
      <c r="H72" s="25">
        <v>0.0</v>
      </c>
      <c r="I72" s="25">
        <v>0.0</v>
      </c>
      <c r="J72" s="25">
        <v>0.0</v>
      </c>
      <c r="K72" s="25">
        <v>0.0</v>
      </c>
      <c r="L72" s="25">
        <v>0.0</v>
      </c>
    </row>
    <row r="73">
      <c r="A73" s="24" t="s">
        <v>164</v>
      </c>
      <c r="B73" s="30"/>
      <c r="C73" s="25"/>
      <c r="D73" s="25"/>
      <c r="E73" s="25">
        <v>0.0</v>
      </c>
      <c r="F73" s="25">
        <v>0.0</v>
      </c>
      <c r="G73" s="25">
        <v>0.0</v>
      </c>
      <c r="H73" s="25">
        <v>0.0</v>
      </c>
      <c r="I73" s="25">
        <v>0.0</v>
      </c>
      <c r="J73" s="25">
        <v>0.0</v>
      </c>
      <c r="K73" s="25">
        <v>0.0</v>
      </c>
      <c r="L73" s="25">
        <v>0.0</v>
      </c>
    </row>
    <row r="74">
      <c r="A74" s="24" t="s">
        <v>165</v>
      </c>
      <c r="B74" s="30"/>
      <c r="C74" s="25"/>
      <c r="D74" s="25"/>
      <c r="E74" s="25">
        <v>0.0</v>
      </c>
      <c r="F74" s="25">
        <v>0.0</v>
      </c>
      <c r="G74" s="25">
        <v>0.0</v>
      </c>
      <c r="H74" s="25">
        <v>0.0</v>
      </c>
      <c r="I74" s="25">
        <v>0.0</v>
      </c>
      <c r="J74" s="25">
        <v>0.0</v>
      </c>
      <c r="K74" s="25">
        <v>0.0</v>
      </c>
      <c r="L74" s="25">
        <v>0.0</v>
      </c>
    </row>
    <row r="75">
      <c r="A75" s="24" t="s">
        <v>166</v>
      </c>
      <c r="B75" s="30"/>
      <c r="C75" s="25"/>
      <c r="D75" s="25"/>
      <c r="E75" s="25">
        <v>0.0</v>
      </c>
      <c r="F75" s="25">
        <v>0.0</v>
      </c>
      <c r="G75" s="25">
        <v>0.0</v>
      </c>
      <c r="H75" s="25">
        <v>0.0</v>
      </c>
      <c r="I75" s="25">
        <v>0.0</v>
      </c>
      <c r="J75" s="25">
        <v>0.0</v>
      </c>
      <c r="K75" s="25">
        <v>0.0</v>
      </c>
      <c r="L75" s="25">
        <v>0.0</v>
      </c>
    </row>
    <row r="76">
      <c r="A76" s="24" t="s">
        <v>167</v>
      </c>
      <c r="B76" s="30"/>
      <c r="C76" s="25"/>
      <c r="D76" s="25"/>
      <c r="E76" s="25">
        <v>0.0</v>
      </c>
      <c r="F76" s="25">
        <v>0.0</v>
      </c>
      <c r="G76" s="25">
        <v>0.0</v>
      </c>
      <c r="H76" s="25">
        <v>0.0</v>
      </c>
      <c r="I76" s="25">
        <v>0.0</v>
      </c>
      <c r="J76" s="25">
        <v>0.0</v>
      </c>
      <c r="K76" s="25">
        <v>0.0</v>
      </c>
      <c r="L76" s="25">
        <v>0.0</v>
      </c>
    </row>
    <row r="77">
      <c r="A77" s="24" t="s">
        <v>168</v>
      </c>
      <c r="B77" s="30"/>
      <c r="C77" s="25"/>
      <c r="D77" s="25"/>
      <c r="E77" s="25">
        <v>0.0</v>
      </c>
      <c r="F77" s="25">
        <v>0.0</v>
      </c>
      <c r="G77" s="25">
        <v>0.0</v>
      </c>
      <c r="H77" s="25">
        <v>0.0</v>
      </c>
      <c r="I77" s="25">
        <v>0.0</v>
      </c>
      <c r="J77" s="25">
        <v>0.0</v>
      </c>
      <c r="K77" s="25">
        <v>0.0</v>
      </c>
      <c r="L77" s="25">
        <v>0.0</v>
      </c>
    </row>
    <row r="78">
      <c r="A78" s="24" t="s">
        <v>169</v>
      </c>
      <c r="B78" s="30"/>
      <c r="C78" s="25"/>
      <c r="D78" s="25"/>
      <c r="E78" s="25">
        <v>0.0</v>
      </c>
      <c r="F78" s="25">
        <v>0.0</v>
      </c>
      <c r="G78" s="25">
        <v>0.0</v>
      </c>
      <c r="H78" s="25">
        <v>0.0</v>
      </c>
      <c r="I78" s="25">
        <v>0.0</v>
      </c>
      <c r="J78" s="25">
        <v>0.0</v>
      </c>
      <c r="K78" s="25">
        <v>0.0</v>
      </c>
      <c r="L78" s="25">
        <v>0.0</v>
      </c>
    </row>
    <row r="79">
      <c r="A79" s="24" t="s">
        <v>170</v>
      </c>
      <c r="B79" s="30"/>
      <c r="C79" s="25"/>
      <c r="D79" s="25"/>
      <c r="E79" s="25">
        <v>0.0</v>
      </c>
      <c r="F79" s="25">
        <v>0.0</v>
      </c>
      <c r="G79" s="25">
        <v>0.0</v>
      </c>
      <c r="H79" s="25">
        <v>0.0</v>
      </c>
      <c r="I79" s="25">
        <v>0.0</v>
      </c>
      <c r="J79" s="25">
        <v>0.0</v>
      </c>
      <c r="K79" s="25">
        <v>0.0</v>
      </c>
      <c r="L79" s="25">
        <v>0.0</v>
      </c>
    </row>
    <row r="80">
      <c r="A80" s="24" t="s">
        <v>171</v>
      </c>
      <c r="B80" s="30"/>
      <c r="C80" s="25"/>
      <c r="D80" s="25"/>
      <c r="E80" s="25">
        <v>0.0</v>
      </c>
      <c r="F80" s="25">
        <v>0.0</v>
      </c>
      <c r="G80" s="25">
        <v>0.0</v>
      </c>
      <c r="H80" s="25">
        <v>0.0</v>
      </c>
      <c r="I80" s="25">
        <v>0.0</v>
      </c>
      <c r="J80" s="25">
        <v>0.0</v>
      </c>
      <c r="K80" s="25">
        <v>0.0</v>
      </c>
      <c r="L80" s="25">
        <v>0.0</v>
      </c>
    </row>
    <row r="81">
      <c r="A81" s="80" t="s">
        <v>172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>
      <c r="A82" s="24" t="s">
        <v>173</v>
      </c>
      <c r="B82" s="30"/>
      <c r="C82" s="25"/>
      <c r="D82" s="25"/>
      <c r="E82" s="25">
        <v>0.0</v>
      </c>
      <c r="F82" s="25">
        <f>E82*$F$3</f>
        <v>0</v>
      </c>
      <c r="G82" s="25">
        <v>0.0</v>
      </c>
      <c r="H82" s="25">
        <f>G82*$H$3</f>
        <v>0</v>
      </c>
      <c r="I82" s="25">
        <v>0.0</v>
      </c>
      <c r="J82" s="25">
        <f>I82*$J$3</f>
        <v>0</v>
      </c>
      <c r="K82" s="25">
        <v>0.0</v>
      </c>
      <c r="L82" s="25">
        <f>K82*$L$3</f>
        <v>0</v>
      </c>
    </row>
    <row r="83">
      <c r="A83" s="80" t="s">
        <v>175</v>
      </c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4">
      <c r="A84" s="24" t="s">
        <v>176</v>
      </c>
      <c r="B84" s="30"/>
      <c r="C84" s="25"/>
      <c r="D84" s="25"/>
      <c r="E84" s="25">
        <v>0.0</v>
      </c>
      <c r="F84" s="25">
        <v>0.0</v>
      </c>
      <c r="G84" s="25">
        <v>0.0</v>
      </c>
      <c r="H84" s="25">
        <v>0.0</v>
      </c>
      <c r="I84" s="25">
        <v>0.0</v>
      </c>
      <c r="J84" s="25">
        <v>0.0</v>
      </c>
      <c r="K84" s="25">
        <v>0.0</v>
      </c>
      <c r="L84" s="25">
        <v>0.0</v>
      </c>
    </row>
    <row r="85">
      <c r="A85" s="24" t="s">
        <v>177</v>
      </c>
      <c r="B85" s="30"/>
      <c r="C85" s="25"/>
      <c r="D85" s="25"/>
      <c r="E85" s="25">
        <v>0.0</v>
      </c>
      <c r="F85" s="25">
        <v>0.0</v>
      </c>
      <c r="G85" s="25">
        <v>0.0</v>
      </c>
      <c r="H85" s="25">
        <v>0.0</v>
      </c>
      <c r="I85" s="25">
        <v>0.0</v>
      </c>
      <c r="J85" s="25">
        <v>0.0</v>
      </c>
      <c r="K85" s="25">
        <v>0.0</v>
      </c>
      <c r="L85" s="25">
        <v>0.0</v>
      </c>
    </row>
    <row r="86">
      <c r="A86" s="24" t="s">
        <v>180</v>
      </c>
      <c r="B86" s="30"/>
      <c r="C86" s="25"/>
      <c r="D86" s="25"/>
      <c r="E86" s="25">
        <v>0.0</v>
      </c>
      <c r="F86" s="25">
        <v>0.0</v>
      </c>
      <c r="G86" s="25">
        <v>0.0</v>
      </c>
      <c r="H86" s="25">
        <v>0.0</v>
      </c>
      <c r="I86" s="25">
        <v>0.0</v>
      </c>
      <c r="J86" s="25">
        <v>0.0</v>
      </c>
      <c r="K86" s="25">
        <v>0.0</v>
      </c>
      <c r="L86" s="25">
        <v>0.0</v>
      </c>
    </row>
    <row r="87">
      <c r="A87" s="24" t="s">
        <v>181</v>
      </c>
      <c r="B87" s="30"/>
      <c r="C87" s="25"/>
      <c r="D87" s="25"/>
      <c r="E87" s="25">
        <v>0.0</v>
      </c>
      <c r="F87" s="25">
        <v>0.0</v>
      </c>
      <c r="G87" s="25">
        <v>0.0</v>
      </c>
      <c r="H87" s="25">
        <v>0.0</v>
      </c>
      <c r="I87" s="25">
        <v>0.0</v>
      </c>
      <c r="J87" s="25">
        <v>0.0</v>
      </c>
      <c r="K87" s="25">
        <v>0.0</v>
      </c>
      <c r="L87" s="25">
        <v>0.0</v>
      </c>
    </row>
    <row r="88">
      <c r="A88" s="80" t="s">
        <v>44</v>
      </c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</row>
    <row r="89">
      <c r="A89" s="24" t="s">
        <v>53</v>
      </c>
      <c r="B89" s="24"/>
      <c r="C89" s="25"/>
      <c r="D89" s="25"/>
      <c r="E89" s="25">
        <v>0.0</v>
      </c>
      <c r="F89" s="25">
        <f t="shared" ref="F89:F90" si="1">E89*$F$3</f>
        <v>0</v>
      </c>
      <c r="G89" s="25">
        <v>0.0</v>
      </c>
      <c r="H89" s="25">
        <f t="shared" ref="H89:H90" si="2">G89*$H$3</f>
        <v>0</v>
      </c>
      <c r="I89" s="25">
        <v>0.0</v>
      </c>
      <c r="J89" s="25">
        <f t="shared" ref="J89:J90" si="3">I89*$J$3</f>
        <v>0</v>
      </c>
      <c r="K89" s="25">
        <v>0.0</v>
      </c>
      <c r="L89" s="25">
        <f t="shared" ref="L89:L90" si="4">K89*$L$3</f>
        <v>0</v>
      </c>
    </row>
    <row r="90">
      <c r="A90" s="42" t="s">
        <v>56</v>
      </c>
      <c r="B90" s="46"/>
      <c r="C90" s="25"/>
      <c r="D90" s="25"/>
      <c r="E90" s="25">
        <v>0.0</v>
      </c>
      <c r="F90" s="25">
        <f t="shared" si="1"/>
        <v>0</v>
      </c>
      <c r="G90" s="25">
        <v>0.0</v>
      </c>
      <c r="H90" s="25">
        <f t="shared" si="2"/>
        <v>0</v>
      </c>
      <c r="I90" s="25">
        <v>0.0</v>
      </c>
      <c r="J90" s="25">
        <f t="shared" si="3"/>
        <v>0</v>
      </c>
      <c r="K90" s="25">
        <v>0.0</v>
      </c>
      <c r="L90" s="25">
        <f t="shared" si="4"/>
        <v>0</v>
      </c>
    </row>
    <row r="91">
      <c r="A91" s="76"/>
      <c r="B91" s="15"/>
      <c r="C91" s="54"/>
      <c r="D91" s="56"/>
      <c r="E91" s="54">
        <f>SUM(E4:E90)</f>
        <v>0</v>
      </c>
      <c r="F91" s="61">
        <f>$F$3*E91</f>
        <v>0</v>
      </c>
      <c r="G91" s="54">
        <f>SUM(G4:G90)</f>
        <v>0</v>
      </c>
      <c r="H91" s="61">
        <f>$H$3*G91</f>
        <v>0</v>
      </c>
      <c r="I91" s="54">
        <f>SUM(I4:I90)</f>
        <v>0</v>
      </c>
      <c r="J91" s="61">
        <f>$J$3*I91</f>
        <v>0</v>
      </c>
      <c r="K91" s="54">
        <f>SUM(K4:K90)</f>
        <v>0</v>
      </c>
      <c r="L91" s="61">
        <f>$J$3*K91</f>
        <v>0</v>
      </c>
    </row>
    <row r="92">
      <c r="A92" s="76" t="s">
        <v>69</v>
      </c>
      <c r="B92" s="54">
        <f>SUM(F91+H91+D91+L91+J91)</f>
        <v>0</v>
      </c>
      <c r="C92" s="38"/>
      <c r="D92" s="38"/>
      <c r="E92" s="38"/>
      <c r="F92" s="38"/>
      <c r="G92" s="38"/>
      <c r="H92" s="38"/>
      <c r="I92" s="38"/>
      <c r="J92" s="38"/>
      <c r="K92" s="38"/>
      <c r="L92" s="38"/>
    </row>
  </sheetData>
  <mergeCells count="14">
    <mergeCell ref="F5:F13"/>
    <mergeCell ref="G5:G13"/>
    <mergeCell ref="H5:H13"/>
    <mergeCell ref="I5:I13"/>
    <mergeCell ref="J5:J13"/>
    <mergeCell ref="K5:K13"/>
    <mergeCell ref="B1:B2"/>
    <mergeCell ref="C1:D1"/>
    <mergeCell ref="E1:F1"/>
    <mergeCell ref="G1:H1"/>
    <mergeCell ref="I1:J1"/>
    <mergeCell ref="K1:L1"/>
    <mergeCell ref="E5:E13"/>
    <mergeCell ref="L5:L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68.13"/>
    <col customWidth="1" min="2" max="2" width="14.63"/>
    <col customWidth="1" min="3" max="6" width="12.63"/>
  </cols>
  <sheetData>
    <row r="1">
      <c r="A1" s="2"/>
      <c r="B1" s="4" t="s">
        <v>0</v>
      </c>
      <c r="C1" s="5" t="s">
        <v>1</v>
      </c>
      <c r="D1" s="6"/>
      <c r="E1" s="5" t="s">
        <v>2</v>
      </c>
      <c r="F1" s="6"/>
      <c r="G1" s="5" t="s">
        <v>3</v>
      </c>
      <c r="H1" s="6"/>
      <c r="I1" s="5" t="s">
        <v>6</v>
      </c>
      <c r="J1" s="6"/>
    </row>
    <row r="2">
      <c r="A2" s="9" t="s">
        <v>7</v>
      </c>
      <c r="B2" s="11"/>
      <c r="C2" s="12" t="s">
        <v>8</v>
      </c>
      <c r="D2" s="12" t="s">
        <v>9</v>
      </c>
      <c r="E2" s="12" t="s">
        <v>8</v>
      </c>
      <c r="F2" s="12" t="s">
        <v>9</v>
      </c>
      <c r="G2" s="12" t="s">
        <v>8</v>
      </c>
      <c r="H2" s="12" t="s">
        <v>9</v>
      </c>
      <c r="I2" s="12" t="s">
        <v>8</v>
      </c>
      <c r="J2" s="12" t="s">
        <v>9</v>
      </c>
    </row>
    <row r="3">
      <c r="A3" s="13" t="s">
        <v>10</v>
      </c>
      <c r="B3" s="15"/>
      <c r="C3" s="15"/>
      <c r="D3" s="18">
        <v>0.0</v>
      </c>
      <c r="E3" s="20"/>
      <c r="F3" s="18">
        <v>0.0</v>
      </c>
      <c r="G3" s="15"/>
      <c r="H3" s="18">
        <v>0.0</v>
      </c>
      <c r="I3" s="15"/>
      <c r="J3" s="18">
        <v>0.0</v>
      </c>
    </row>
    <row r="4">
      <c r="A4" s="24" t="s">
        <v>13</v>
      </c>
      <c r="B4" s="24"/>
      <c r="C4" s="25">
        <v>0.0</v>
      </c>
      <c r="D4" s="25">
        <v>0.0</v>
      </c>
      <c r="E4" s="25">
        <v>0.0</v>
      </c>
      <c r="F4" s="25">
        <v>0.0</v>
      </c>
      <c r="G4" s="25">
        <v>0.0</v>
      </c>
      <c r="H4" s="25">
        <v>0.0</v>
      </c>
      <c r="I4" s="25">
        <v>0.0</v>
      </c>
      <c r="J4" s="25">
        <v>0.0</v>
      </c>
    </row>
    <row r="5">
      <c r="A5" s="24" t="s">
        <v>15</v>
      </c>
      <c r="B5" s="24"/>
      <c r="C5" s="25">
        <v>0.0</v>
      </c>
      <c r="D5" s="25">
        <v>0.0</v>
      </c>
      <c r="E5" s="25">
        <v>0.0</v>
      </c>
      <c r="F5" s="25">
        <v>0.0</v>
      </c>
      <c r="G5" s="25">
        <v>0.0</v>
      </c>
      <c r="H5" s="25">
        <v>0.0</v>
      </c>
      <c r="I5" s="25">
        <v>0.0</v>
      </c>
      <c r="J5" s="25">
        <v>0.0</v>
      </c>
    </row>
    <row r="6">
      <c r="A6" s="24" t="s">
        <v>16</v>
      </c>
      <c r="B6" s="30"/>
      <c r="C6" s="25">
        <v>0.0</v>
      </c>
      <c r="D6" s="25">
        <v>0.0</v>
      </c>
      <c r="E6" s="25">
        <v>0.0</v>
      </c>
      <c r="F6" s="25">
        <v>0.0</v>
      </c>
      <c r="G6" s="25">
        <v>0.0</v>
      </c>
      <c r="H6" s="25">
        <v>0.0</v>
      </c>
      <c r="I6" s="25">
        <v>0.0</v>
      </c>
      <c r="J6" s="25">
        <v>0.0</v>
      </c>
    </row>
    <row r="7">
      <c r="A7" s="24" t="s">
        <v>18</v>
      </c>
      <c r="B7" s="30"/>
      <c r="C7" s="25">
        <v>0.0</v>
      </c>
      <c r="D7" s="25">
        <v>0.0</v>
      </c>
      <c r="E7" s="25">
        <v>0.0</v>
      </c>
      <c r="F7" s="25">
        <v>0.0</v>
      </c>
      <c r="G7" s="25">
        <v>0.0</v>
      </c>
      <c r="H7" s="25">
        <v>0.0</v>
      </c>
      <c r="I7" s="25">
        <v>0.0</v>
      </c>
      <c r="J7" s="25">
        <v>0.0</v>
      </c>
    </row>
    <row r="8">
      <c r="A8" s="24" t="s">
        <v>19</v>
      </c>
      <c r="B8" s="30"/>
      <c r="C8" s="25">
        <v>0.0</v>
      </c>
      <c r="D8" s="25">
        <v>0.0</v>
      </c>
      <c r="E8" s="25">
        <v>0.0</v>
      </c>
      <c r="F8" s="25">
        <v>0.0</v>
      </c>
      <c r="G8" s="25">
        <v>0.0</v>
      </c>
      <c r="H8" s="25">
        <v>0.0</v>
      </c>
      <c r="I8" s="25">
        <v>0.0</v>
      </c>
      <c r="J8" s="25">
        <v>0.0</v>
      </c>
    </row>
    <row r="9">
      <c r="A9" s="24" t="s">
        <v>20</v>
      </c>
      <c r="B9" s="30"/>
      <c r="C9" s="25">
        <v>0.0</v>
      </c>
      <c r="D9" s="25">
        <v>0.0</v>
      </c>
      <c r="E9" s="25">
        <v>0.0</v>
      </c>
      <c r="F9" s="25">
        <v>0.0</v>
      </c>
      <c r="G9" s="25">
        <v>0.0</v>
      </c>
      <c r="H9" s="25">
        <v>0.0</v>
      </c>
      <c r="I9" s="25">
        <v>0.0</v>
      </c>
      <c r="J9" s="25">
        <v>0.0</v>
      </c>
    </row>
    <row r="10">
      <c r="A10" s="24" t="s">
        <v>21</v>
      </c>
      <c r="B10" s="30"/>
      <c r="C10" s="25">
        <v>0.0</v>
      </c>
      <c r="D10" s="25">
        <v>0.0</v>
      </c>
      <c r="E10" s="25">
        <v>0.0</v>
      </c>
      <c r="F10" s="25">
        <v>0.0</v>
      </c>
      <c r="G10" s="25">
        <v>0.0</v>
      </c>
      <c r="H10" s="25">
        <v>0.0</v>
      </c>
      <c r="I10" s="25">
        <v>0.0</v>
      </c>
      <c r="J10" s="25">
        <v>0.0</v>
      </c>
    </row>
    <row r="11">
      <c r="A11" s="24" t="s">
        <v>23</v>
      </c>
      <c r="B11" s="30"/>
      <c r="C11" s="25">
        <v>0.0</v>
      </c>
      <c r="D11" s="25">
        <v>0.0</v>
      </c>
      <c r="E11" s="25">
        <v>0.0</v>
      </c>
      <c r="F11" s="25">
        <v>0.0</v>
      </c>
      <c r="G11" s="25">
        <v>0.0</v>
      </c>
      <c r="H11" s="25">
        <v>0.0</v>
      </c>
      <c r="I11" s="25">
        <v>0.0</v>
      </c>
      <c r="J11" s="25">
        <v>0.0</v>
      </c>
    </row>
    <row r="12">
      <c r="A12" s="24" t="s">
        <v>24</v>
      </c>
      <c r="B12" s="30"/>
      <c r="C12" s="25">
        <v>0.0</v>
      </c>
      <c r="D12" s="25">
        <v>0.0</v>
      </c>
      <c r="E12" s="25">
        <v>0.0</v>
      </c>
      <c r="F12" s="25">
        <v>0.0</v>
      </c>
      <c r="G12" s="25">
        <v>0.0</v>
      </c>
      <c r="H12" s="25">
        <v>0.0</v>
      </c>
      <c r="I12" s="25">
        <v>0.0</v>
      </c>
      <c r="J12" s="25">
        <v>0.0</v>
      </c>
    </row>
    <row r="13">
      <c r="A13" s="24" t="s">
        <v>25</v>
      </c>
      <c r="B13" s="30"/>
      <c r="C13" s="25">
        <v>0.0</v>
      </c>
      <c r="D13" s="25">
        <v>0.0</v>
      </c>
      <c r="E13" s="25">
        <v>0.0</v>
      </c>
      <c r="F13" s="25">
        <v>0.0</v>
      </c>
      <c r="G13" s="25">
        <v>0.0</v>
      </c>
      <c r="H13" s="25">
        <v>0.0</v>
      </c>
      <c r="I13" s="25">
        <v>0.0</v>
      </c>
      <c r="J13" s="25">
        <v>0.0</v>
      </c>
    </row>
    <row r="14">
      <c r="A14" s="24" t="s">
        <v>27</v>
      </c>
      <c r="B14" s="30"/>
      <c r="C14" s="25">
        <v>0.0</v>
      </c>
      <c r="D14" s="25">
        <v>0.0</v>
      </c>
      <c r="E14" s="25">
        <v>0.0</v>
      </c>
      <c r="F14" s="25">
        <v>0.0</v>
      </c>
      <c r="G14" s="25">
        <v>0.0</v>
      </c>
      <c r="H14" s="25">
        <v>0.0</v>
      </c>
      <c r="I14" s="25">
        <v>0.0</v>
      </c>
      <c r="J14" s="25">
        <v>0.0</v>
      </c>
    </row>
    <row r="15">
      <c r="A15" s="24" t="s">
        <v>28</v>
      </c>
      <c r="B15" s="30"/>
      <c r="C15" s="25">
        <v>0.0</v>
      </c>
      <c r="D15" s="25">
        <v>0.0</v>
      </c>
      <c r="E15" s="25">
        <v>0.0</v>
      </c>
      <c r="F15" s="25">
        <v>0.0</v>
      </c>
      <c r="G15" s="25">
        <v>0.0</v>
      </c>
      <c r="H15" s="25">
        <v>0.0</v>
      </c>
      <c r="I15" s="25">
        <v>0.0</v>
      </c>
      <c r="J15" s="25">
        <v>0.0</v>
      </c>
    </row>
    <row r="16">
      <c r="A16" s="24" t="s">
        <v>30</v>
      </c>
      <c r="B16" s="30"/>
      <c r="C16" s="25">
        <v>0.0</v>
      </c>
      <c r="D16" s="25">
        <v>0.0</v>
      </c>
      <c r="E16" s="25">
        <v>0.0</v>
      </c>
      <c r="F16" s="25">
        <v>0.0</v>
      </c>
      <c r="G16" s="25">
        <v>0.0</v>
      </c>
      <c r="H16" s="25">
        <v>0.0</v>
      </c>
      <c r="I16" s="25">
        <v>0.0</v>
      </c>
      <c r="J16" s="25">
        <v>0.0</v>
      </c>
    </row>
    <row r="17">
      <c r="A17" s="18" t="s">
        <v>31</v>
      </c>
      <c r="B17" s="15"/>
      <c r="C17" s="38"/>
      <c r="D17" s="38"/>
      <c r="E17" s="38"/>
      <c r="F17" s="38"/>
      <c r="G17" s="38"/>
      <c r="H17" s="38"/>
      <c r="I17" s="38"/>
      <c r="J17" s="38"/>
    </row>
    <row r="18">
      <c r="A18" s="24" t="s">
        <v>34</v>
      </c>
      <c r="B18" s="30"/>
      <c r="C18" s="25">
        <v>0.0</v>
      </c>
      <c r="D18" s="25">
        <v>0.0</v>
      </c>
      <c r="E18" s="25">
        <v>0.0</v>
      </c>
      <c r="F18" s="25">
        <v>0.0</v>
      </c>
      <c r="G18" s="25">
        <v>0.0</v>
      </c>
      <c r="H18" s="25">
        <v>0.0</v>
      </c>
      <c r="I18" s="25">
        <v>0.0</v>
      </c>
      <c r="J18" s="25">
        <v>0.0</v>
      </c>
    </row>
    <row r="19">
      <c r="A19" s="24" t="s">
        <v>36</v>
      </c>
      <c r="B19" s="30"/>
      <c r="C19" s="25">
        <v>0.0</v>
      </c>
      <c r="D19" s="25">
        <v>0.0</v>
      </c>
      <c r="E19" s="25">
        <v>0.0</v>
      </c>
      <c r="F19" s="25">
        <v>0.0</v>
      </c>
      <c r="G19" s="25">
        <v>0.0</v>
      </c>
      <c r="H19" s="25">
        <v>0.0</v>
      </c>
      <c r="I19" s="25">
        <v>0.0</v>
      </c>
      <c r="J19" s="25">
        <v>0.0</v>
      </c>
    </row>
    <row r="20">
      <c r="A20" s="24" t="s">
        <v>38</v>
      </c>
      <c r="B20" s="30"/>
      <c r="C20" s="25">
        <v>0.0</v>
      </c>
      <c r="D20" s="25">
        <v>0.0</v>
      </c>
      <c r="E20" s="25">
        <v>0.0</v>
      </c>
      <c r="F20" s="25">
        <v>0.0</v>
      </c>
      <c r="G20" s="25">
        <v>0.0</v>
      </c>
      <c r="H20" s="25">
        <v>0.0</v>
      </c>
      <c r="I20" s="25">
        <v>0.0</v>
      </c>
      <c r="J20" s="25">
        <v>0.0</v>
      </c>
    </row>
    <row r="21">
      <c r="A21" s="40" t="s">
        <v>40</v>
      </c>
      <c r="B21" s="30"/>
      <c r="C21" s="25">
        <v>0.0</v>
      </c>
      <c r="D21" s="25">
        <v>0.0</v>
      </c>
      <c r="E21" s="25">
        <v>0.0</v>
      </c>
      <c r="F21" s="25">
        <v>0.0</v>
      </c>
      <c r="G21" s="25">
        <v>0.0</v>
      </c>
      <c r="H21" s="25">
        <v>0.0</v>
      </c>
      <c r="I21" s="25">
        <v>0.0</v>
      </c>
      <c r="J21" s="25">
        <v>0.0</v>
      </c>
    </row>
    <row r="22">
      <c r="A22" s="24" t="s">
        <v>42</v>
      </c>
      <c r="B22" s="30"/>
      <c r="C22" s="25">
        <v>0.0</v>
      </c>
      <c r="D22" s="25">
        <v>0.0</v>
      </c>
      <c r="E22" s="25">
        <v>0.0</v>
      </c>
      <c r="F22" s="25">
        <v>0.0</v>
      </c>
      <c r="G22" s="25">
        <v>0.0</v>
      </c>
      <c r="H22" s="25">
        <v>0.0</v>
      </c>
      <c r="I22" s="25">
        <v>0.0</v>
      </c>
      <c r="J22" s="25">
        <v>0.0</v>
      </c>
    </row>
    <row r="23">
      <c r="A23" s="18" t="s">
        <v>44</v>
      </c>
      <c r="B23" s="15"/>
      <c r="C23" s="38"/>
      <c r="D23" s="38"/>
      <c r="E23" s="38"/>
      <c r="F23" s="38"/>
      <c r="G23" s="38"/>
      <c r="H23" s="38"/>
      <c r="I23" s="38"/>
      <c r="J23" s="38"/>
    </row>
    <row r="24">
      <c r="A24" s="42" t="s">
        <v>47</v>
      </c>
      <c r="B24" s="42"/>
      <c r="C24" s="44">
        <v>0.0</v>
      </c>
      <c r="D24" s="44">
        <v>0.0</v>
      </c>
      <c r="E24" s="44">
        <v>0.0</v>
      </c>
      <c r="F24" s="44">
        <v>0.0</v>
      </c>
      <c r="G24" s="44">
        <v>0.0</v>
      </c>
      <c r="H24" s="44">
        <v>0.0</v>
      </c>
      <c r="I24" s="44">
        <v>0.0</v>
      </c>
      <c r="J24" s="44">
        <v>0.0</v>
      </c>
    </row>
    <row r="25">
      <c r="A25" s="42" t="s">
        <v>52</v>
      </c>
      <c r="B25" s="42"/>
      <c r="C25" s="44">
        <v>0.0</v>
      </c>
      <c r="D25" s="44">
        <v>0.0</v>
      </c>
      <c r="E25" s="44">
        <v>0.0</v>
      </c>
      <c r="F25" s="44">
        <v>0.0</v>
      </c>
      <c r="G25" s="44">
        <v>0.0</v>
      </c>
      <c r="H25" s="44">
        <v>0.0</v>
      </c>
      <c r="I25" s="44">
        <v>0.0</v>
      </c>
      <c r="J25" s="44">
        <v>0.0</v>
      </c>
    </row>
    <row r="26">
      <c r="A26" s="24" t="s">
        <v>53</v>
      </c>
      <c r="B26" s="30"/>
      <c r="C26" s="44">
        <v>0.0</v>
      </c>
      <c r="D26" s="44">
        <v>0.0</v>
      </c>
      <c r="E26" s="44">
        <v>0.0</v>
      </c>
      <c r="F26" s="44">
        <v>0.0</v>
      </c>
      <c r="G26" s="44">
        <v>0.0</v>
      </c>
      <c r="H26" s="44">
        <v>0.0</v>
      </c>
      <c r="I26" s="44">
        <v>0.0</v>
      </c>
      <c r="J26" s="44">
        <v>0.0</v>
      </c>
    </row>
    <row r="27">
      <c r="A27" s="42" t="s">
        <v>56</v>
      </c>
      <c r="B27" s="46"/>
      <c r="C27" s="44">
        <v>0.0</v>
      </c>
      <c r="D27" s="44">
        <v>0.0</v>
      </c>
      <c r="E27" s="44">
        <v>0.0</v>
      </c>
      <c r="F27" s="44">
        <v>0.0</v>
      </c>
      <c r="G27" s="44">
        <v>0.0</v>
      </c>
      <c r="H27" s="44">
        <v>0.0</v>
      </c>
      <c r="I27" s="44">
        <v>0.0</v>
      </c>
      <c r="J27" s="44">
        <v>0.0</v>
      </c>
    </row>
    <row r="28">
      <c r="A28" s="49" t="s">
        <v>59</v>
      </c>
      <c r="B28" s="15"/>
      <c r="C28" s="54">
        <f>SUM(C5:C27)</f>
        <v>0</v>
      </c>
      <c r="D28" s="56">
        <f>$D$3*C28</f>
        <v>0</v>
      </c>
      <c r="E28" s="54"/>
      <c r="F28" s="54"/>
      <c r="G28" s="54">
        <f>SUM(G5:G27)</f>
        <v>0</v>
      </c>
      <c r="H28" s="61">
        <f>$H$3*G28</f>
        <v>0</v>
      </c>
      <c r="I28" s="54">
        <f>SUM(I5:I27)</f>
        <v>0</v>
      </c>
      <c r="J28" s="61">
        <f>$J$3*I28</f>
        <v>0</v>
      </c>
    </row>
    <row r="29">
      <c r="A29" s="49" t="s">
        <v>69</v>
      </c>
      <c r="B29" s="54">
        <f>SUM(H28+D28+J28)</f>
        <v>0</v>
      </c>
      <c r="C29" s="38"/>
      <c r="D29" s="38"/>
      <c r="E29" s="38"/>
      <c r="F29" s="38"/>
      <c r="G29" s="38"/>
      <c r="H29" s="38"/>
      <c r="I29" s="38"/>
      <c r="J29" s="38"/>
    </row>
  </sheetData>
  <mergeCells count="5">
    <mergeCell ref="B1:B2"/>
    <mergeCell ref="C1:D1"/>
    <mergeCell ref="E1:F1"/>
    <mergeCell ref="G1:H1"/>
    <mergeCell ref="I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68.13"/>
    <col customWidth="1" min="2" max="2" width="14.63"/>
    <col customWidth="1" min="3" max="6" width="12.63"/>
    <col customWidth="1" min="11" max="11" width="0.63"/>
  </cols>
  <sheetData>
    <row r="1">
      <c r="A1" s="3"/>
      <c r="B1" s="7" t="s">
        <v>0</v>
      </c>
      <c r="C1" s="8" t="s">
        <v>1</v>
      </c>
      <c r="D1" s="6"/>
      <c r="E1" s="8" t="s">
        <v>2</v>
      </c>
      <c r="F1" s="6"/>
      <c r="G1" s="8" t="s">
        <v>3</v>
      </c>
      <c r="H1" s="6"/>
      <c r="I1" s="8" t="s">
        <v>6</v>
      </c>
      <c r="J1" s="6"/>
      <c r="K1" s="16"/>
    </row>
    <row r="2">
      <c r="A2" s="19" t="s">
        <v>7</v>
      </c>
      <c r="B2" s="11"/>
      <c r="C2" s="22" t="s">
        <v>8</v>
      </c>
      <c r="D2" s="22" t="s">
        <v>9</v>
      </c>
      <c r="E2" s="22" t="s">
        <v>8</v>
      </c>
      <c r="F2" s="22" t="s">
        <v>9</v>
      </c>
      <c r="G2" s="22" t="s">
        <v>8</v>
      </c>
      <c r="H2" s="22" t="s">
        <v>9</v>
      </c>
      <c r="I2" s="22" t="s">
        <v>8</v>
      </c>
      <c r="J2" s="22" t="s">
        <v>9</v>
      </c>
      <c r="K2" s="26"/>
    </row>
    <row r="3">
      <c r="A3" s="27" t="s">
        <v>11</v>
      </c>
      <c r="B3" s="29"/>
      <c r="C3" s="29"/>
      <c r="D3" s="32">
        <v>0.0</v>
      </c>
      <c r="E3" s="29"/>
      <c r="F3" s="32">
        <v>0.0</v>
      </c>
      <c r="G3" s="29"/>
      <c r="H3" s="32">
        <v>0.0</v>
      </c>
      <c r="I3" s="29"/>
      <c r="J3" s="32">
        <v>0.0</v>
      </c>
      <c r="K3" s="26"/>
    </row>
    <row r="4">
      <c r="A4" s="34" t="s">
        <v>17</v>
      </c>
      <c r="B4" s="35"/>
      <c r="C4" s="36">
        <v>0.0</v>
      </c>
      <c r="D4" s="36">
        <v>0.0</v>
      </c>
      <c r="E4" s="36">
        <v>0.0</v>
      </c>
      <c r="F4" s="36">
        <v>0.0</v>
      </c>
      <c r="G4" s="36">
        <v>0.0</v>
      </c>
      <c r="H4" s="36">
        <v>0.0</v>
      </c>
      <c r="I4" s="36">
        <v>0.0</v>
      </c>
      <c r="J4" s="36">
        <v>0.0</v>
      </c>
      <c r="K4" s="26"/>
    </row>
    <row r="5">
      <c r="A5" s="34" t="s">
        <v>22</v>
      </c>
      <c r="B5" s="35"/>
      <c r="C5" s="36">
        <v>0.0</v>
      </c>
      <c r="D5" s="36">
        <v>0.0</v>
      </c>
      <c r="E5" s="36">
        <v>0.0</v>
      </c>
      <c r="F5" s="36">
        <v>0.0</v>
      </c>
      <c r="G5" s="36">
        <v>0.0</v>
      </c>
      <c r="H5" s="36">
        <v>0.0</v>
      </c>
      <c r="I5" s="36">
        <v>0.0</v>
      </c>
      <c r="J5" s="36">
        <v>0.0</v>
      </c>
      <c r="K5" s="26"/>
    </row>
    <row r="6">
      <c r="A6" s="27"/>
      <c r="B6" s="29"/>
      <c r="C6" s="29"/>
      <c r="D6" s="32"/>
      <c r="E6" s="29"/>
      <c r="F6" s="32"/>
      <c r="G6" s="29"/>
      <c r="H6" s="32"/>
      <c r="I6" s="29"/>
      <c r="J6" s="32"/>
      <c r="K6" s="26"/>
    </row>
    <row r="7">
      <c r="A7" s="34" t="s">
        <v>26</v>
      </c>
      <c r="B7" s="34"/>
      <c r="C7" s="36">
        <v>0.0</v>
      </c>
      <c r="D7" s="36">
        <v>0.0</v>
      </c>
      <c r="E7" s="36">
        <v>0.0</v>
      </c>
      <c r="F7" s="36">
        <v>0.0</v>
      </c>
      <c r="G7" s="36">
        <v>0.0</v>
      </c>
      <c r="H7" s="36">
        <v>0.0</v>
      </c>
      <c r="I7" s="36">
        <v>0.0</v>
      </c>
      <c r="J7" s="36">
        <v>0.0</v>
      </c>
      <c r="K7" s="37"/>
    </row>
    <row r="8">
      <c r="A8" s="34" t="s">
        <v>29</v>
      </c>
      <c r="B8" s="34"/>
      <c r="C8" s="36">
        <v>0.0</v>
      </c>
      <c r="D8" s="36">
        <v>0.0</v>
      </c>
      <c r="E8" s="36">
        <v>0.0</v>
      </c>
      <c r="F8" s="36">
        <v>0.0</v>
      </c>
      <c r="G8" s="36">
        <v>0.0</v>
      </c>
      <c r="H8" s="36">
        <v>0.0</v>
      </c>
      <c r="I8" s="36">
        <v>0.0</v>
      </c>
      <c r="J8" s="36">
        <v>0.0</v>
      </c>
      <c r="K8" s="37"/>
    </row>
    <row r="9">
      <c r="A9" s="34" t="s">
        <v>33</v>
      </c>
      <c r="B9" s="35"/>
      <c r="C9" s="36">
        <v>0.0</v>
      </c>
      <c r="D9" s="36">
        <v>0.0</v>
      </c>
      <c r="E9" s="36">
        <v>0.0</v>
      </c>
      <c r="F9" s="36">
        <v>0.0</v>
      </c>
      <c r="G9" s="36">
        <v>0.0</v>
      </c>
      <c r="H9" s="36">
        <v>0.0</v>
      </c>
      <c r="I9" s="36">
        <v>0.0</v>
      </c>
      <c r="J9" s="36">
        <v>0.0</v>
      </c>
      <c r="K9" s="37"/>
    </row>
    <row r="10">
      <c r="A10" s="34" t="s">
        <v>37</v>
      </c>
      <c r="B10" s="35"/>
      <c r="C10" s="36">
        <v>0.0</v>
      </c>
      <c r="D10" s="36">
        <v>0.0</v>
      </c>
      <c r="E10" s="36">
        <v>0.0</v>
      </c>
      <c r="F10" s="36">
        <v>0.0</v>
      </c>
      <c r="G10" s="36">
        <v>0.0</v>
      </c>
      <c r="H10" s="36">
        <v>0.0</v>
      </c>
      <c r="I10" s="36">
        <v>0.0</v>
      </c>
      <c r="J10" s="36">
        <v>0.0</v>
      </c>
      <c r="K10" s="37"/>
    </row>
    <row r="11">
      <c r="A11" s="34" t="s">
        <v>41</v>
      </c>
      <c r="B11" s="35"/>
      <c r="C11" s="36">
        <v>0.0</v>
      </c>
      <c r="D11" s="36">
        <v>0.0</v>
      </c>
      <c r="E11" s="36">
        <v>0.0</v>
      </c>
      <c r="F11" s="36">
        <v>0.0</v>
      </c>
      <c r="G11" s="36">
        <v>0.0</v>
      </c>
      <c r="H11" s="36">
        <v>0.0</v>
      </c>
      <c r="I11" s="36">
        <v>0.0</v>
      </c>
      <c r="J11" s="36">
        <v>0.0</v>
      </c>
      <c r="K11" s="37"/>
    </row>
    <row r="12">
      <c r="A12" s="34" t="s">
        <v>45</v>
      </c>
      <c r="B12" s="35"/>
      <c r="C12" s="36">
        <v>0.0</v>
      </c>
      <c r="D12" s="36">
        <v>0.0</v>
      </c>
      <c r="E12" s="36">
        <v>0.0</v>
      </c>
      <c r="F12" s="36">
        <v>0.0</v>
      </c>
      <c r="G12" s="36">
        <v>0.0</v>
      </c>
      <c r="H12" s="36">
        <v>0.0</v>
      </c>
      <c r="I12" s="36">
        <v>0.0</v>
      </c>
      <c r="J12" s="36">
        <v>0.0</v>
      </c>
      <c r="K12" s="37"/>
    </row>
    <row r="13">
      <c r="A13" s="34" t="s">
        <v>48</v>
      </c>
      <c r="B13" s="35"/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36">
        <v>0.0</v>
      </c>
      <c r="K13" s="37"/>
    </row>
    <row r="14">
      <c r="A14" s="34" t="s">
        <v>51</v>
      </c>
      <c r="B14" s="35"/>
      <c r="C14" s="36">
        <v>0.0</v>
      </c>
      <c r="D14" s="36">
        <v>0.0</v>
      </c>
      <c r="E14" s="36">
        <v>0.0</v>
      </c>
      <c r="F14" s="36">
        <v>0.0</v>
      </c>
      <c r="G14" s="36">
        <v>0.0</v>
      </c>
      <c r="H14" s="36">
        <v>0.0</v>
      </c>
      <c r="I14" s="36">
        <v>0.0</v>
      </c>
      <c r="J14" s="36">
        <v>0.0</v>
      </c>
      <c r="K14" s="37"/>
    </row>
    <row r="15">
      <c r="A15" s="34" t="s">
        <v>55</v>
      </c>
      <c r="B15" s="35"/>
      <c r="C15" s="36">
        <v>0.0</v>
      </c>
      <c r="D15" s="36">
        <v>0.0</v>
      </c>
      <c r="E15" s="36">
        <v>0.0</v>
      </c>
      <c r="F15" s="36">
        <v>0.0</v>
      </c>
      <c r="G15" s="36">
        <v>0.0</v>
      </c>
      <c r="H15" s="36">
        <v>0.0</v>
      </c>
      <c r="I15" s="36">
        <v>0.0</v>
      </c>
      <c r="J15" s="36">
        <v>0.0</v>
      </c>
      <c r="K15" s="37"/>
    </row>
    <row r="16">
      <c r="A16" s="32" t="s">
        <v>44</v>
      </c>
      <c r="B16" s="29"/>
      <c r="C16" s="48"/>
      <c r="D16" s="48"/>
      <c r="E16" s="48"/>
      <c r="F16" s="48"/>
      <c r="G16" s="48"/>
      <c r="H16" s="48"/>
      <c r="I16" s="48"/>
      <c r="J16" s="48"/>
      <c r="K16" s="26"/>
    </row>
    <row r="17">
      <c r="A17" s="52" t="s">
        <v>47</v>
      </c>
      <c r="B17" s="52"/>
      <c r="C17" s="53">
        <v>0.0</v>
      </c>
      <c r="D17" s="53">
        <v>0.0</v>
      </c>
      <c r="E17" s="53">
        <v>0.0</v>
      </c>
      <c r="F17" s="53">
        <v>0.0</v>
      </c>
      <c r="G17" s="53">
        <v>0.0</v>
      </c>
      <c r="H17" s="53">
        <v>0.0</v>
      </c>
      <c r="I17" s="53">
        <v>0.0</v>
      </c>
      <c r="J17" s="53">
        <v>0.0</v>
      </c>
      <c r="K17" s="26"/>
    </row>
    <row r="18">
      <c r="A18" s="52" t="s">
        <v>52</v>
      </c>
      <c r="B18" s="52"/>
      <c r="C18" s="53">
        <v>0.0</v>
      </c>
      <c r="D18" s="53">
        <v>0.0</v>
      </c>
      <c r="E18" s="53">
        <v>0.0</v>
      </c>
      <c r="F18" s="53">
        <v>0.0</v>
      </c>
      <c r="G18" s="53">
        <v>0.0</v>
      </c>
      <c r="H18" s="53">
        <v>0.0</v>
      </c>
      <c r="I18" s="53">
        <v>0.0</v>
      </c>
      <c r="J18" s="53">
        <v>0.0</v>
      </c>
      <c r="K18" s="26"/>
    </row>
    <row r="19">
      <c r="A19" s="34" t="s">
        <v>53</v>
      </c>
      <c r="B19" s="35"/>
      <c r="C19" s="53">
        <v>0.0</v>
      </c>
      <c r="D19" s="53">
        <v>0.0</v>
      </c>
      <c r="E19" s="53">
        <v>0.0</v>
      </c>
      <c r="F19" s="53">
        <v>0.0</v>
      </c>
      <c r="G19" s="53">
        <v>0.0</v>
      </c>
      <c r="H19" s="53">
        <v>0.0</v>
      </c>
      <c r="I19" s="53">
        <v>0.0</v>
      </c>
      <c r="J19" s="53">
        <v>0.0</v>
      </c>
      <c r="K19" s="26"/>
    </row>
    <row r="20">
      <c r="A20" s="52" t="s">
        <v>56</v>
      </c>
      <c r="B20" s="58"/>
      <c r="C20" s="53">
        <v>0.0</v>
      </c>
      <c r="D20" s="53">
        <v>0.0</v>
      </c>
      <c r="E20" s="53">
        <v>0.0</v>
      </c>
      <c r="F20" s="53">
        <v>0.0</v>
      </c>
      <c r="G20" s="53">
        <v>0.0</v>
      </c>
      <c r="H20" s="53">
        <v>0.0</v>
      </c>
      <c r="I20" s="53">
        <v>0.0</v>
      </c>
      <c r="J20" s="53">
        <v>0.0</v>
      </c>
      <c r="K20" s="26"/>
    </row>
    <row r="21">
      <c r="A21" s="60" t="s">
        <v>59</v>
      </c>
      <c r="B21" s="29"/>
      <c r="C21" s="62">
        <f>SUM(C4:C20)</f>
        <v>0</v>
      </c>
      <c r="D21" s="63">
        <f>$D$3*C21</f>
        <v>0</v>
      </c>
      <c r="E21" s="62">
        <f>SUM(E7:E20)</f>
        <v>0</v>
      </c>
      <c r="F21" s="65">
        <f>$F$3*E21</f>
        <v>0</v>
      </c>
      <c r="G21" s="62">
        <f>SUM(G7:G20)</f>
        <v>0</v>
      </c>
      <c r="H21" s="65">
        <f>$H$3*G21</f>
        <v>0</v>
      </c>
      <c r="I21" s="62">
        <f>SUM(I7:I15)</f>
        <v>0</v>
      </c>
      <c r="J21" s="65">
        <f>$J$3*I21+J19+J20</f>
        <v>0</v>
      </c>
      <c r="K21" s="26"/>
    </row>
    <row r="22">
      <c r="A22" s="60" t="s">
        <v>69</v>
      </c>
      <c r="B22" s="62">
        <f>SUM(H21+D21+J21+F21)</f>
        <v>0</v>
      </c>
      <c r="C22" s="48"/>
      <c r="D22" s="48"/>
      <c r="E22" s="48"/>
      <c r="F22" s="48"/>
      <c r="G22" s="48"/>
      <c r="H22" s="48"/>
      <c r="I22" s="48"/>
      <c r="J22" s="48"/>
      <c r="K22" s="26"/>
    </row>
  </sheetData>
  <mergeCells count="5">
    <mergeCell ref="B1:B2"/>
    <mergeCell ref="C1:D1"/>
    <mergeCell ref="E1:F1"/>
    <mergeCell ref="G1:H1"/>
    <mergeCell ref="I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 outlineLevelRow="1"/>
  <cols>
    <col customWidth="1" min="1" max="1" width="53.5"/>
    <col customWidth="1" min="2" max="2" width="20.38"/>
    <col customWidth="1" min="3" max="6" width="12.63"/>
  </cols>
  <sheetData>
    <row r="1">
      <c r="A1" s="77"/>
      <c r="B1" s="78" t="s">
        <v>0</v>
      </c>
      <c r="C1" s="79" t="s">
        <v>1</v>
      </c>
      <c r="D1" s="6"/>
      <c r="E1" s="79" t="s">
        <v>2</v>
      </c>
      <c r="F1" s="6"/>
      <c r="G1" s="79" t="s">
        <v>4</v>
      </c>
      <c r="H1" s="6"/>
      <c r="I1" s="79" t="s">
        <v>5</v>
      </c>
      <c r="J1" s="6"/>
      <c r="K1" s="79" t="s">
        <v>6</v>
      </c>
      <c r="L1" s="6"/>
    </row>
    <row r="2">
      <c r="A2" s="82" t="s">
        <v>7</v>
      </c>
      <c r="B2" s="11"/>
      <c r="C2" s="83" t="s">
        <v>8</v>
      </c>
      <c r="D2" s="83" t="s">
        <v>9</v>
      </c>
      <c r="E2" s="83" t="s">
        <v>8</v>
      </c>
      <c r="F2" s="83" t="s">
        <v>9</v>
      </c>
      <c r="G2" s="83" t="s">
        <v>8</v>
      </c>
      <c r="H2" s="83" t="s">
        <v>9</v>
      </c>
      <c r="I2" s="83" t="s">
        <v>8</v>
      </c>
      <c r="J2" s="83" t="s">
        <v>9</v>
      </c>
      <c r="K2" s="83" t="s">
        <v>8</v>
      </c>
      <c r="L2" s="83" t="s">
        <v>9</v>
      </c>
    </row>
    <row r="3">
      <c r="A3" s="84" t="s">
        <v>11</v>
      </c>
      <c r="B3" s="85"/>
      <c r="C3" s="85"/>
      <c r="D3" s="86">
        <v>0.0</v>
      </c>
      <c r="E3" s="85"/>
      <c r="F3" s="86">
        <v>0.0</v>
      </c>
      <c r="G3" s="85"/>
      <c r="H3" s="86">
        <v>0.0</v>
      </c>
      <c r="I3" s="85"/>
      <c r="J3" s="86">
        <v>0.0</v>
      </c>
      <c r="K3" s="86"/>
      <c r="L3" s="86">
        <v>0.0</v>
      </c>
    </row>
    <row r="4">
      <c r="A4" s="87" t="s">
        <v>174</v>
      </c>
      <c r="B4" s="88"/>
      <c r="C4" s="89">
        <v>0.0</v>
      </c>
      <c r="D4" s="89">
        <v>0.0</v>
      </c>
      <c r="E4" s="89">
        <v>0.0</v>
      </c>
      <c r="F4" s="89">
        <v>0.0</v>
      </c>
      <c r="G4" s="89">
        <v>0.0</v>
      </c>
      <c r="H4" s="89">
        <v>0.0</v>
      </c>
      <c r="I4" s="89">
        <v>0.0</v>
      </c>
      <c r="J4" s="89">
        <v>0.0</v>
      </c>
      <c r="K4" s="89">
        <v>0.0</v>
      </c>
      <c r="L4" s="89">
        <v>0.0</v>
      </c>
    </row>
    <row r="5">
      <c r="A5" s="87" t="s">
        <v>22</v>
      </c>
      <c r="B5" s="39"/>
      <c r="C5" s="89">
        <v>0.0</v>
      </c>
      <c r="D5" s="89">
        <v>0.0</v>
      </c>
      <c r="E5" s="89">
        <v>0.0</v>
      </c>
      <c r="F5" s="89">
        <v>0.0</v>
      </c>
      <c r="G5" s="89">
        <v>0.0</v>
      </c>
      <c r="H5" s="89">
        <v>0.0</v>
      </c>
      <c r="I5" s="89">
        <v>0.0</v>
      </c>
      <c r="J5" s="89">
        <v>0.0</v>
      </c>
      <c r="K5" s="89">
        <v>0.0</v>
      </c>
      <c r="L5" s="89">
        <v>0.0</v>
      </c>
    </row>
    <row r="6">
      <c r="A6" s="87" t="s">
        <v>178</v>
      </c>
      <c r="B6" s="11"/>
      <c r="C6" s="89">
        <v>0.0</v>
      </c>
      <c r="D6" s="89">
        <v>0.0</v>
      </c>
      <c r="E6" s="89">
        <v>0.0</v>
      </c>
      <c r="F6" s="89">
        <v>0.0</v>
      </c>
      <c r="G6" s="89">
        <v>0.0</v>
      </c>
      <c r="H6" s="89">
        <v>0.0</v>
      </c>
      <c r="I6" s="89">
        <v>0.0</v>
      </c>
      <c r="J6" s="89">
        <v>0.0</v>
      </c>
      <c r="K6" s="89">
        <v>0.0</v>
      </c>
      <c r="L6" s="89">
        <v>0.0</v>
      </c>
    </row>
    <row r="7">
      <c r="A7" s="90" t="s">
        <v>179</v>
      </c>
      <c r="B7" s="91"/>
      <c r="C7" s="92"/>
      <c r="D7" s="92"/>
      <c r="E7" s="92"/>
      <c r="F7" s="92"/>
      <c r="G7" s="92"/>
      <c r="H7" s="92"/>
      <c r="I7" s="92"/>
      <c r="J7" s="92"/>
      <c r="K7" s="92"/>
      <c r="L7" s="92"/>
    </row>
    <row r="8">
      <c r="A8" s="93" t="s">
        <v>182</v>
      </c>
      <c r="B8" s="93"/>
      <c r="C8" s="89">
        <v>0.0</v>
      </c>
      <c r="D8" s="89">
        <v>0.0</v>
      </c>
      <c r="E8" s="89">
        <v>0.0</v>
      </c>
      <c r="F8" s="89">
        <v>0.0</v>
      </c>
      <c r="G8" s="89">
        <v>0.0</v>
      </c>
      <c r="H8" s="89">
        <v>0.0</v>
      </c>
      <c r="I8" s="89">
        <v>0.0</v>
      </c>
      <c r="J8" s="89">
        <v>0.0</v>
      </c>
      <c r="K8" s="89">
        <v>0.0</v>
      </c>
      <c r="L8" s="89">
        <v>0.0</v>
      </c>
    </row>
    <row r="9">
      <c r="A9" s="93" t="s">
        <v>183</v>
      </c>
      <c r="B9" s="93"/>
      <c r="C9" s="89">
        <v>0.0</v>
      </c>
      <c r="D9" s="89">
        <v>0.0</v>
      </c>
      <c r="E9" s="89">
        <v>0.0</v>
      </c>
      <c r="F9" s="89">
        <v>0.0</v>
      </c>
      <c r="G9" s="89">
        <v>0.0</v>
      </c>
      <c r="H9" s="89">
        <v>0.0</v>
      </c>
      <c r="I9" s="89">
        <v>0.0</v>
      </c>
      <c r="J9" s="89">
        <v>0.0</v>
      </c>
      <c r="K9" s="89">
        <v>0.0</v>
      </c>
      <c r="L9" s="89">
        <v>0.0</v>
      </c>
    </row>
    <row r="10">
      <c r="A10" s="94" t="s">
        <v>184</v>
      </c>
      <c r="B10" s="95"/>
      <c r="C10" s="96"/>
      <c r="D10" s="96"/>
      <c r="E10" s="96"/>
      <c r="F10" s="96"/>
      <c r="G10" s="96"/>
      <c r="H10" s="96"/>
      <c r="I10" s="96"/>
      <c r="J10" s="96"/>
      <c r="K10" s="96"/>
      <c r="L10" s="96"/>
    </row>
    <row r="11">
      <c r="A11" s="93" t="s">
        <v>185</v>
      </c>
      <c r="B11" s="97"/>
      <c r="C11" s="89">
        <v>0.0</v>
      </c>
      <c r="D11" s="89">
        <f>C11*$D$3</f>
        <v>0</v>
      </c>
      <c r="E11" s="89">
        <v>0.0</v>
      </c>
      <c r="F11" s="89">
        <f>E11*$F$3</f>
        <v>0</v>
      </c>
      <c r="G11" s="89">
        <v>0.0</v>
      </c>
      <c r="H11" s="89">
        <f>G11*$H$3</f>
        <v>0</v>
      </c>
      <c r="I11" s="89">
        <v>0.0</v>
      </c>
      <c r="J11" s="89">
        <f>I11*$J$3</f>
        <v>0</v>
      </c>
      <c r="K11" s="89">
        <v>0.0</v>
      </c>
      <c r="L11" s="89">
        <f>K11*$L$3</f>
        <v>0</v>
      </c>
    </row>
    <row r="12">
      <c r="A12" s="94" t="s">
        <v>186</v>
      </c>
      <c r="B12" s="95"/>
      <c r="C12" s="96"/>
      <c r="D12" s="96"/>
      <c r="E12" s="96"/>
      <c r="F12" s="96"/>
      <c r="G12" s="96"/>
      <c r="H12" s="96"/>
      <c r="I12" s="96"/>
      <c r="J12" s="96"/>
      <c r="K12" s="96"/>
      <c r="L12" s="96"/>
    </row>
    <row r="13">
      <c r="A13" s="93" t="s">
        <v>187</v>
      </c>
      <c r="B13" s="93"/>
      <c r="C13" s="89">
        <v>0.0</v>
      </c>
      <c r="D13" s="89">
        <v>0.0</v>
      </c>
      <c r="E13" s="89">
        <v>0.0</v>
      </c>
      <c r="F13" s="89">
        <v>0.0</v>
      </c>
      <c r="G13" s="89">
        <v>0.0</v>
      </c>
      <c r="H13" s="89">
        <v>0.0</v>
      </c>
      <c r="I13" s="89">
        <v>0.0</v>
      </c>
      <c r="J13" s="89">
        <v>0.0</v>
      </c>
      <c r="K13" s="89">
        <v>0.0</v>
      </c>
      <c r="L13" s="89">
        <v>0.0</v>
      </c>
    </row>
    <row r="14">
      <c r="A14" s="93" t="s">
        <v>188</v>
      </c>
      <c r="B14" s="97"/>
      <c r="C14" s="89">
        <v>0.0</v>
      </c>
      <c r="D14" s="89">
        <v>0.0</v>
      </c>
      <c r="E14" s="89">
        <v>0.0</v>
      </c>
      <c r="F14" s="89">
        <v>0.0</v>
      </c>
      <c r="G14" s="89">
        <v>0.0</v>
      </c>
      <c r="H14" s="89">
        <v>0.0</v>
      </c>
      <c r="I14" s="89">
        <v>0.0</v>
      </c>
      <c r="J14" s="89">
        <v>0.0</v>
      </c>
      <c r="K14" s="89">
        <v>0.0</v>
      </c>
      <c r="L14" s="89">
        <v>0.0</v>
      </c>
    </row>
    <row r="15">
      <c r="A15" s="93" t="s">
        <v>189</v>
      </c>
      <c r="B15" s="97"/>
      <c r="C15" s="89">
        <v>0.0</v>
      </c>
      <c r="D15" s="89">
        <v>0.0</v>
      </c>
      <c r="E15" s="89">
        <v>0.0</v>
      </c>
      <c r="F15" s="89">
        <v>0.0</v>
      </c>
      <c r="G15" s="89">
        <v>0.0</v>
      </c>
      <c r="H15" s="89">
        <v>0.0</v>
      </c>
      <c r="I15" s="89">
        <v>0.0</v>
      </c>
      <c r="J15" s="89">
        <v>0.0</v>
      </c>
      <c r="K15" s="89">
        <v>0.0</v>
      </c>
      <c r="L15" s="89">
        <v>0.0</v>
      </c>
    </row>
    <row r="16">
      <c r="A16" s="93" t="s">
        <v>190</v>
      </c>
      <c r="B16" s="97"/>
      <c r="C16" s="89">
        <v>0.0</v>
      </c>
      <c r="D16" s="89">
        <v>0.0</v>
      </c>
      <c r="E16" s="89">
        <v>0.0</v>
      </c>
      <c r="F16" s="89">
        <v>0.0</v>
      </c>
      <c r="G16" s="89">
        <v>0.0</v>
      </c>
      <c r="H16" s="89">
        <v>0.0</v>
      </c>
      <c r="I16" s="89">
        <v>0.0</v>
      </c>
      <c r="J16" s="89">
        <v>0.0</v>
      </c>
      <c r="K16" s="89">
        <v>0.0</v>
      </c>
      <c r="L16" s="89">
        <v>0.0</v>
      </c>
    </row>
    <row r="17">
      <c r="A17" s="98" t="s">
        <v>191</v>
      </c>
      <c r="B17" s="98"/>
      <c r="C17" s="99"/>
      <c r="D17" s="99"/>
      <c r="E17" s="99"/>
      <c r="F17" s="99"/>
      <c r="G17" s="99"/>
      <c r="H17" s="99"/>
      <c r="I17" s="99"/>
      <c r="J17" s="99"/>
      <c r="K17" s="99"/>
      <c r="L17" s="99"/>
    </row>
    <row r="18" outlineLevel="1">
      <c r="A18" s="93" t="s">
        <v>192</v>
      </c>
      <c r="B18" s="97"/>
      <c r="C18" s="89">
        <v>0.0</v>
      </c>
      <c r="D18" s="89">
        <v>0.0</v>
      </c>
      <c r="E18" s="89">
        <v>0.0</v>
      </c>
      <c r="F18" s="89">
        <v>0.0</v>
      </c>
      <c r="G18" s="89">
        <v>0.0</v>
      </c>
      <c r="H18" s="89">
        <v>0.0</v>
      </c>
      <c r="I18" s="89">
        <v>0.0</v>
      </c>
      <c r="J18" s="89">
        <v>0.0</v>
      </c>
      <c r="K18" s="89">
        <v>0.0</v>
      </c>
      <c r="L18" s="89">
        <v>0.0</v>
      </c>
    </row>
    <row r="19" outlineLevel="1">
      <c r="A19" s="93" t="s">
        <v>193</v>
      </c>
      <c r="B19" s="97"/>
      <c r="C19" s="89">
        <v>0.0</v>
      </c>
      <c r="D19" s="89">
        <v>0.0</v>
      </c>
      <c r="E19" s="89">
        <v>0.0</v>
      </c>
      <c r="F19" s="89">
        <v>0.0</v>
      </c>
      <c r="G19" s="89">
        <v>0.0</v>
      </c>
      <c r="H19" s="89">
        <v>0.0</v>
      </c>
      <c r="I19" s="89">
        <v>0.0</v>
      </c>
      <c r="J19" s="89">
        <v>0.0</v>
      </c>
      <c r="K19" s="89">
        <v>0.0</v>
      </c>
      <c r="L19" s="89">
        <v>0.0</v>
      </c>
    </row>
    <row r="20" outlineLevel="1">
      <c r="A20" s="93" t="s">
        <v>194</v>
      </c>
      <c r="B20" s="97"/>
      <c r="C20" s="89">
        <v>0.0</v>
      </c>
      <c r="D20" s="89">
        <v>0.0</v>
      </c>
      <c r="E20" s="89">
        <v>0.0</v>
      </c>
      <c r="F20" s="89">
        <v>0.0</v>
      </c>
      <c r="G20" s="89">
        <v>0.0</v>
      </c>
      <c r="H20" s="89">
        <v>0.0</v>
      </c>
      <c r="I20" s="89">
        <v>0.0</v>
      </c>
      <c r="J20" s="89">
        <v>0.0</v>
      </c>
      <c r="K20" s="89">
        <v>0.0</v>
      </c>
      <c r="L20" s="89">
        <v>0.0</v>
      </c>
    </row>
    <row r="21" outlineLevel="1">
      <c r="A21" s="93" t="s">
        <v>195</v>
      </c>
      <c r="B21" s="97"/>
      <c r="C21" s="89">
        <v>0.0</v>
      </c>
      <c r="D21" s="89">
        <v>0.0</v>
      </c>
      <c r="E21" s="89">
        <v>0.0</v>
      </c>
      <c r="F21" s="89">
        <v>0.0</v>
      </c>
      <c r="G21" s="89">
        <v>0.0</v>
      </c>
      <c r="H21" s="89">
        <v>0.0</v>
      </c>
      <c r="I21" s="89">
        <v>0.0</v>
      </c>
      <c r="J21" s="89">
        <v>0.0</v>
      </c>
      <c r="K21" s="89">
        <v>0.0</v>
      </c>
      <c r="L21" s="89">
        <v>0.0</v>
      </c>
    </row>
    <row r="22" outlineLevel="1">
      <c r="A22" s="93" t="s">
        <v>196</v>
      </c>
      <c r="B22" s="97"/>
      <c r="C22" s="89">
        <v>0.0</v>
      </c>
      <c r="D22" s="89">
        <v>0.0</v>
      </c>
      <c r="E22" s="89">
        <v>0.0</v>
      </c>
      <c r="F22" s="89">
        <v>0.0</v>
      </c>
      <c r="G22" s="89">
        <v>0.0</v>
      </c>
      <c r="H22" s="89">
        <v>0.0</v>
      </c>
      <c r="I22" s="89">
        <v>0.0</v>
      </c>
      <c r="J22" s="89">
        <v>0.0</v>
      </c>
      <c r="K22" s="89">
        <v>0.0</v>
      </c>
      <c r="L22" s="89">
        <v>0.0</v>
      </c>
    </row>
    <row r="23">
      <c r="A23" s="98" t="s">
        <v>197</v>
      </c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99"/>
    </row>
    <row r="24" outlineLevel="1">
      <c r="A24" s="93" t="s">
        <v>198</v>
      </c>
      <c r="B24" s="97"/>
      <c r="C24" s="89">
        <v>0.0</v>
      </c>
      <c r="D24" s="89">
        <v>0.0</v>
      </c>
      <c r="E24" s="89">
        <v>0.0</v>
      </c>
      <c r="F24" s="89">
        <v>0.0</v>
      </c>
      <c r="G24" s="89">
        <v>0.0</v>
      </c>
      <c r="H24" s="89">
        <v>0.0</v>
      </c>
      <c r="I24" s="89">
        <v>0.0</v>
      </c>
      <c r="J24" s="89">
        <v>0.0</v>
      </c>
      <c r="K24" s="89">
        <v>0.0</v>
      </c>
      <c r="L24" s="89">
        <v>0.0</v>
      </c>
    </row>
    <row r="25" outlineLevel="1">
      <c r="A25" s="93" t="s">
        <v>199</v>
      </c>
      <c r="B25" s="97"/>
      <c r="C25" s="89">
        <v>0.0</v>
      </c>
      <c r="D25" s="89">
        <v>0.0</v>
      </c>
      <c r="E25" s="89">
        <v>0.0</v>
      </c>
      <c r="F25" s="89">
        <v>0.0</v>
      </c>
      <c r="G25" s="89">
        <v>0.0</v>
      </c>
      <c r="H25" s="89">
        <v>0.0</v>
      </c>
      <c r="I25" s="89">
        <v>0.0</v>
      </c>
      <c r="J25" s="89">
        <v>0.0</v>
      </c>
      <c r="K25" s="89">
        <v>0.0</v>
      </c>
      <c r="L25" s="89">
        <v>0.0</v>
      </c>
    </row>
    <row r="26" outlineLevel="1">
      <c r="A26" s="93" t="s">
        <v>200</v>
      </c>
      <c r="B26" s="97"/>
      <c r="C26" s="89">
        <v>0.0</v>
      </c>
      <c r="D26" s="89">
        <v>0.0</v>
      </c>
      <c r="E26" s="89">
        <v>0.0</v>
      </c>
      <c r="F26" s="89">
        <v>0.0</v>
      </c>
      <c r="G26" s="89">
        <v>0.0</v>
      </c>
      <c r="H26" s="89">
        <v>0.0</v>
      </c>
      <c r="I26" s="89">
        <v>0.0</v>
      </c>
      <c r="J26" s="89">
        <v>0.0</v>
      </c>
      <c r="K26" s="89">
        <v>0.0</v>
      </c>
      <c r="L26" s="89">
        <v>0.0</v>
      </c>
    </row>
    <row r="27">
      <c r="A27" s="100" t="s">
        <v>201</v>
      </c>
      <c r="B27" s="98"/>
      <c r="C27" s="99"/>
      <c r="D27" s="99"/>
      <c r="E27" s="99"/>
      <c r="F27" s="99"/>
      <c r="G27" s="99"/>
      <c r="H27" s="99"/>
      <c r="I27" s="99"/>
      <c r="J27" s="99"/>
      <c r="K27" s="99"/>
      <c r="L27" s="99"/>
    </row>
    <row r="28" outlineLevel="1">
      <c r="A28" s="93" t="s">
        <v>202</v>
      </c>
      <c r="B28" s="93"/>
      <c r="C28" s="89">
        <v>0.0</v>
      </c>
      <c r="D28" s="89">
        <v>0.0</v>
      </c>
      <c r="E28" s="89">
        <v>0.0</v>
      </c>
      <c r="F28" s="89">
        <v>0.0</v>
      </c>
      <c r="G28" s="89">
        <v>0.0</v>
      </c>
      <c r="H28" s="89">
        <v>0.0</v>
      </c>
      <c r="I28" s="89">
        <v>0.0</v>
      </c>
      <c r="J28" s="89">
        <v>0.0</v>
      </c>
      <c r="K28" s="89">
        <v>0.0</v>
      </c>
      <c r="L28" s="89">
        <v>0.0</v>
      </c>
    </row>
    <row r="29" outlineLevel="1">
      <c r="A29" s="93" t="s">
        <v>203</v>
      </c>
      <c r="B29" s="93"/>
      <c r="C29" s="89">
        <v>0.0</v>
      </c>
      <c r="D29" s="89">
        <v>0.0</v>
      </c>
      <c r="E29" s="89">
        <v>0.0</v>
      </c>
      <c r="F29" s="89">
        <v>0.0</v>
      </c>
      <c r="G29" s="89">
        <v>0.0</v>
      </c>
      <c r="H29" s="89">
        <v>0.0</v>
      </c>
      <c r="I29" s="89">
        <v>0.0</v>
      </c>
      <c r="J29" s="89">
        <v>0.0</v>
      </c>
      <c r="K29" s="89">
        <v>0.0</v>
      </c>
      <c r="L29" s="89">
        <v>0.0</v>
      </c>
    </row>
    <row r="30" outlineLevel="1">
      <c r="A30" s="93" t="s">
        <v>204</v>
      </c>
      <c r="B30" s="93"/>
      <c r="C30" s="89">
        <v>0.0</v>
      </c>
      <c r="D30" s="89">
        <v>0.0</v>
      </c>
      <c r="E30" s="89">
        <v>0.0</v>
      </c>
      <c r="F30" s="89">
        <v>0.0</v>
      </c>
      <c r="G30" s="89">
        <v>0.0</v>
      </c>
      <c r="H30" s="89">
        <v>0.0</v>
      </c>
      <c r="I30" s="89">
        <v>0.0</v>
      </c>
      <c r="J30" s="89">
        <v>0.0</v>
      </c>
      <c r="K30" s="89">
        <v>0.0</v>
      </c>
      <c r="L30" s="89">
        <v>0.0</v>
      </c>
    </row>
    <row r="31">
      <c r="A31" s="98" t="s">
        <v>205</v>
      </c>
      <c r="B31" s="98"/>
      <c r="C31" s="99"/>
      <c r="D31" s="99"/>
      <c r="E31" s="99"/>
      <c r="F31" s="99"/>
      <c r="G31" s="99"/>
      <c r="H31" s="99"/>
      <c r="I31" s="99"/>
      <c r="J31" s="99"/>
      <c r="K31" s="99"/>
      <c r="L31" s="99"/>
    </row>
    <row r="32" outlineLevel="1">
      <c r="A32" s="93" t="s">
        <v>206</v>
      </c>
      <c r="B32" s="97"/>
      <c r="C32" s="89">
        <v>0.0</v>
      </c>
      <c r="D32" s="89">
        <f>C32*$D$3</f>
        <v>0</v>
      </c>
      <c r="E32" s="89">
        <v>8.0</v>
      </c>
      <c r="F32" s="89">
        <f>E32*$F$3</f>
        <v>0</v>
      </c>
      <c r="G32" s="89">
        <v>8.0</v>
      </c>
      <c r="H32" s="89">
        <f>G32*$H$3</f>
        <v>0</v>
      </c>
      <c r="I32" s="89">
        <v>0.0</v>
      </c>
      <c r="J32" s="89">
        <f>I32*$J$3</f>
        <v>0</v>
      </c>
      <c r="K32" s="89">
        <v>0.0</v>
      </c>
      <c r="L32" s="89">
        <f>K32*$L$3</f>
        <v>0</v>
      </c>
    </row>
    <row r="33">
      <c r="A33" s="86" t="s">
        <v>175</v>
      </c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</row>
    <row r="34">
      <c r="A34" s="93" t="s">
        <v>207</v>
      </c>
      <c r="B34" s="97"/>
      <c r="C34" s="89">
        <v>0.0</v>
      </c>
      <c r="D34" s="89">
        <v>0.0</v>
      </c>
      <c r="E34" s="89">
        <v>0.0</v>
      </c>
      <c r="F34" s="89">
        <v>0.0</v>
      </c>
      <c r="G34" s="89">
        <v>0.0</v>
      </c>
      <c r="H34" s="89">
        <v>0.0</v>
      </c>
      <c r="I34" s="89">
        <v>0.0</v>
      </c>
      <c r="J34" s="89">
        <v>0.0</v>
      </c>
      <c r="K34" s="89">
        <v>0.0</v>
      </c>
      <c r="L34" s="89">
        <v>0.0</v>
      </c>
    </row>
    <row r="35">
      <c r="A35" s="93" t="s">
        <v>208</v>
      </c>
      <c r="B35" s="97"/>
      <c r="C35" s="89">
        <v>0.0</v>
      </c>
      <c r="D35" s="89">
        <v>0.0</v>
      </c>
      <c r="E35" s="89">
        <v>0.0</v>
      </c>
      <c r="F35" s="89">
        <v>0.0</v>
      </c>
      <c r="G35" s="89">
        <v>0.0</v>
      </c>
      <c r="H35" s="89">
        <v>0.0</v>
      </c>
      <c r="I35" s="89">
        <v>0.0</v>
      </c>
      <c r="J35" s="89">
        <v>0.0</v>
      </c>
      <c r="K35" s="89">
        <v>0.0</v>
      </c>
      <c r="L35" s="89">
        <v>0.0</v>
      </c>
    </row>
    <row r="36">
      <c r="A36" s="93" t="s">
        <v>209</v>
      </c>
      <c r="B36" s="97"/>
      <c r="C36" s="89">
        <v>0.0</v>
      </c>
      <c r="D36" s="89">
        <v>0.0</v>
      </c>
      <c r="E36" s="89">
        <v>0.0</v>
      </c>
      <c r="F36" s="89">
        <v>0.0</v>
      </c>
      <c r="G36" s="89">
        <v>0.0</v>
      </c>
      <c r="H36" s="89">
        <v>0.0</v>
      </c>
      <c r="I36" s="89">
        <v>0.0</v>
      </c>
      <c r="J36" s="89">
        <v>0.0</v>
      </c>
      <c r="K36" s="89">
        <v>0.0</v>
      </c>
      <c r="L36" s="89">
        <v>0.0</v>
      </c>
    </row>
    <row r="37">
      <c r="A37" s="93" t="s">
        <v>210</v>
      </c>
      <c r="B37" s="97"/>
      <c r="C37" s="89">
        <v>0.0</v>
      </c>
      <c r="D37" s="89">
        <v>0.0</v>
      </c>
      <c r="E37" s="89">
        <v>0.0</v>
      </c>
      <c r="F37" s="89">
        <v>0.0</v>
      </c>
      <c r="G37" s="89">
        <v>0.0</v>
      </c>
      <c r="H37" s="89">
        <v>0.0</v>
      </c>
      <c r="I37" s="89">
        <v>0.0</v>
      </c>
      <c r="J37" s="89">
        <v>0.0</v>
      </c>
      <c r="K37" s="89">
        <v>0.0</v>
      </c>
      <c r="L37" s="89">
        <v>0.0</v>
      </c>
    </row>
    <row r="38">
      <c r="A38" s="93" t="s">
        <v>211</v>
      </c>
      <c r="B38" s="97"/>
      <c r="C38" s="89">
        <v>0.0</v>
      </c>
      <c r="D38" s="89">
        <v>0.0</v>
      </c>
      <c r="E38" s="89">
        <v>0.0</v>
      </c>
      <c r="F38" s="89">
        <v>0.0</v>
      </c>
      <c r="G38" s="89">
        <v>0.0</v>
      </c>
      <c r="H38" s="89">
        <v>0.0</v>
      </c>
      <c r="I38" s="89">
        <v>0.0</v>
      </c>
      <c r="J38" s="89">
        <v>0.0</v>
      </c>
      <c r="K38" s="89">
        <v>0.0</v>
      </c>
      <c r="L38" s="89">
        <v>0.0</v>
      </c>
    </row>
    <row r="39">
      <c r="A39" s="93" t="s">
        <v>212</v>
      </c>
      <c r="B39" s="97"/>
      <c r="C39" s="89">
        <v>0.0</v>
      </c>
      <c r="D39" s="89">
        <v>0.0</v>
      </c>
      <c r="E39" s="89">
        <v>0.0</v>
      </c>
      <c r="F39" s="89">
        <v>0.0</v>
      </c>
      <c r="G39" s="89">
        <v>0.0</v>
      </c>
      <c r="H39" s="89">
        <v>0.0</v>
      </c>
      <c r="I39" s="89">
        <v>0.0</v>
      </c>
      <c r="J39" s="89">
        <v>0.0</v>
      </c>
      <c r="K39" s="89">
        <v>0.0</v>
      </c>
      <c r="L39" s="89">
        <v>0.0</v>
      </c>
    </row>
    <row r="40">
      <c r="A40" s="93" t="s">
        <v>213</v>
      </c>
      <c r="B40" s="97"/>
      <c r="C40" s="89">
        <v>0.0</v>
      </c>
      <c r="D40" s="89">
        <v>0.0</v>
      </c>
      <c r="E40" s="89">
        <v>0.0</v>
      </c>
      <c r="F40" s="89">
        <v>0.0</v>
      </c>
      <c r="G40" s="89">
        <v>0.0</v>
      </c>
      <c r="H40" s="89">
        <v>0.0</v>
      </c>
      <c r="I40" s="89">
        <v>0.0</v>
      </c>
      <c r="J40" s="89">
        <v>0.0</v>
      </c>
      <c r="K40" s="89">
        <v>0.0</v>
      </c>
      <c r="L40" s="89">
        <v>0.0</v>
      </c>
    </row>
    <row r="41">
      <c r="A41" s="86" t="s">
        <v>44</v>
      </c>
      <c r="B41" s="98"/>
      <c r="C41" s="99"/>
      <c r="D41" s="99"/>
      <c r="E41" s="99"/>
      <c r="F41" s="99"/>
      <c r="G41" s="99"/>
      <c r="H41" s="99"/>
      <c r="I41" s="99"/>
      <c r="J41" s="99"/>
      <c r="K41" s="99"/>
      <c r="L41" s="99"/>
    </row>
    <row r="42">
      <c r="A42" s="93" t="s">
        <v>53</v>
      </c>
      <c r="B42" s="93"/>
      <c r="C42" s="89">
        <v>0.0</v>
      </c>
      <c r="D42" s="89">
        <f t="shared" ref="D42:D43" si="1">C42*$D$3</f>
        <v>0</v>
      </c>
      <c r="E42" s="89">
        <v>0.0</v>
      </c>
      <c r="F42" s="89">
        <f t="shared" ref="F42:F43" si="2">E42*$F$3</f>
        <v>0</v>
      </c>
      <c r="G42" s="89">
        <v>0.0</v>
      </c>
      <c r="H42" s="89">
        <f t="shared" ref="H42:H43" si="3">G42*$H$3</f>
        <v>0</v>
      </c>
      <c r="I42" s="89">
        <v>0.0</v>
      </c>
      <c r="J42" s="89">
        <f t="shared" ref="J42:J43" si="4">I42*$J$3</f>
        <v>0</v>
      </c>
      <c r="K42" s="89">
        <v>0.0</v>
      </c>
      <c r="L42" s="89">
        <f t="shared" ref="L42:L43" si="5">K42*$L$3</f>
        <v>0</v>
      </c>
    </row>
    <row r="43">
      <c r="A43" s="101" t="s">
        <v>214</v>
      </c>
      <c r="B43" s="102"/>
      <c r="C43" s="89">
        <v>0.0</v>
      </c>
      <c r="D43" s="89">
        <f t="shared" si="1"/>
        <v>0</v>
      </c>
      <c r="E43" s="89">
        <v>0.0</v>
      </c>
      <c r="F43" s="89">
        <f t="shared" si="2"/>
        <v>0</v>
      </c>
      <c r="G43" s="89">
        <v>0.0</v>
      </c>
      <c r="H43" s="89">
        <f t="shared" si="3"/>
        <v>0</v>
      </c>
      <c r="I43" s="89">
        <v>0.0</v>
      </c>
      <c r="J43" s="89">
        <f t="shared" si="4"/>
        <v>0</v>
      </c>
      <c r="K43" s="89">
        <v>0.0</v>
      </c>
      <c r="L43" s="89">
        <f t="shared" si="5"/>
        <v>0</v>
      </c>
    </row>
    <row r="44">
      <c r="A44" s="103" t="s">
        <v>215</v>
      </c>
      <c r="B44" s="104"/>
      <c r="C44" s="105">
        <f>SUM(C4:C43)</f>
        <v>0</v>
      </c>
      <c r="D44" s="106">
        <f>$D$3*C44</f>
        <v>0</v>
      </c>
      <c r="E44" s="105">
        <f>SUM(E4:E43)</f>
        <v>8</v>
      </c>
      <c r="F44" s="106">
        <f>$D$3*E44</f>
        <v>0</v>
      </c>
      <c r="G44" s="105">
        <f>SUM(G4:G43)</f>
        <v>8</v>
      </c>
      <c r="H44" s="106">
        <f>$D$3*G44</f>
        <v>0</v>
      </c>
      <c r="I44" s="105">
        <f>SUM(I4:I43)</f>
        <v>0</v>
      </c>
      <c r="J44" s="106">
        <f>$D$3*I44</f>
        <v>0</v>
      </c>
      <c r="K44" s="105">
        <f>SUM(K4:K43)</f>
        <v>0</v>
      </c>
      <c r="L44" s="106">
        <f>$D$3*K44</f>
        <v>0</v>
      </c>
    </row>
    <row r="45">
      <c r="A45" s="103" t="s">
        <v>69</v>
      </c>
      <c r="B45" s="107">
        <f>SUM(F44+H44+D44+L44+J44)</f>
        <v>0</v>
      </c>
      <c r="C45" s="108"/>
      <c r="D45" s="108"/>
      <c r="E45" s="108"/>
      <c r="F45" s="108"/>
      <c r="G45" s="108"/>
      <c r="H45" s="108"/>
      <c r="I45" s="108"/>
      <c r="J45" s="108"/>
      <c r="K45" s="108"/>
      <c r="L45" s="108"/>
    </row>
  </sheetData>
  <mergeCells count="7">
    <mergeCell ref="B1:B2"/>
    <mergeCell ref="C1:D1"/>
    <mergeCell ref="E1:F1"/>
    <mergeCell ref="G1:H1"/>
    <mergeCell ref="I1:J1"/>
    <mergeCell ref="K1:L1"/>
    <mergeCell ref="B4:B6"/>
  </mergeCells>
  <drawing r:id="rId1"/>
</worksheet>
</file>